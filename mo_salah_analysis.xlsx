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e1ef5655920d6e/Desktop/college YJ/"/>
    </mc:Choice>
  </mc:AlternateContent>
  <xr:revisionPtr revIDLastSave="0" documentId="8_{61C1A627-D2DC-4F72-899A-AA88F0B155F9}" xr6:coauthVersionLast="47" xr6:coauthVersionMax="47" xr10:uidLastSave="{00000000-0000-0000-0000-000000000000}"/>
  <bookViews>
    <workbookView xWindow="-108" yWindow="-108" windowWidth="23256" windowHeight="12456" xr2:uid="{2CD27EA9-752C-4D06-B513-AC4940A3342D}"/>
  </bookViews>
  <sheets>
    <sheet name="Flatsheet" sheetId="1" r:id="rId1"/>
    <sheet name="Goals_Pivot" sheetId="2" r:id="rId2"/>
    <sheet name="G+Aper90_Pivot" sheetId="4" r:id="rId3"/>
    <sheet name="G+AShare_Pivot" sheetId="5" r:id="rId4"/>
    <sheet name="MinutesShare_Pivot" sheetId="6" r:id="rId5"/>
  </sheet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27" i="1" l="1"/>
  <c r="H327" i="1"/>
  <c r="I327" i="1"/>
  <c r="J327" i="1"/>
  <c r="K327" i="1"/>
  <c r="L327" i="1"/>
  <c r="F327" i="1"/>
  <c r="P273" i="1" s="1"/>
  <c r="P274" i="1"/>
  <c r="Q274" i="1"/>
  <c r="P275" i="1"/>
  <c r="Q275" i="1"/>
  <c r="Q276" i="1"/>
  <c r="Q277" i="1"/>
  <c r="Q273" i="1"/>
  <c r="P268" i="1"/>
  <c r="R276" i="1"/>
  <c r="R274" i="1"/>
  <c r="J277" i="1"/>
  <c r="I277" i="1"/>
  <c r="O277" i="1" s="1"/>
  <c r="N277" i="1"/>
  <c r="M277" i="1"/>
  <c r="J276" i="1"/>
  <c r="I276" i="1"/>
  <c r="O276" i="1" s="1"/>
  <c r="N276" i="1"/>
  <c r="M276" i="1"/>
  <c r="J275" i="1"/>
  <c r="I275" i="1"/>
  <c r="O275" i="1"/>
  <c r="N275" i="1"/>
  <c r="M275" i="1"/>
  <c r="J274" i="1"/>
  <c r="I274" i="1"/>
  <c r="O274" i="1"/>
  <c r="N274" i="1"/>
  <c r="M274" i="1"/>
  <c r="J273" i="1"/>
  <c r="I273" i="1"/>
  <c r="O273" i="1"/>
  <c r="N273" i="1"/>
  <c r="M273" i="1"/>
  <c r="G326" i="1"/>
  <c r="H326" i="1"/>
  <c r="K326" i="1"/>
  <c r="L326" i="1"/>
  <c r="F326" i="1"/>
  <c r="P269" i="1"/>
  <c r="J272" i="1"/>
  <c r="I272" i="1"/>
  <c r="O272" i="1" s="1"/>
  <c r="N272" i="1"/>
  <c r="M272" i="1"/>
  <c r="J271" i="1"/>
  <c r="I271" i="1"/>
  <c r="O271" i="1" s="1"/>
  <c r="N271" i="1"/>
  <c r="M271" i="1"/>
  <c r="J270" i="1"/>
  <c r="I270" i="1"/>
  <c r="O270" i="1"/>
  <c r="N270" i="1"/>
  <c r="M270" i="1"/>
  <c r="J269" i="1"/>
  <c r="I269" i="1"/>
  <c r="O269" i="1" s="1"/>
  <c r="N269" i="1"/>
  <c r="M269" i="1"/>
  <c r="J268" i="1"/>
  <c r="J326" i="1" s="1"/>
  <c r="I268" i="1"/>
  <c r="O268" i="1" s="1"/>
  <c r="N268" i="1"/>
  <c r="M268" i="1"/>
  <c r="G325" i="1"/>
  <c r="H325" i="1"/>
  <c r="K325" i="1"/>
  <c r="L325" i="1"/>
  <c r="F325" i="1"/>
  <c r="P264" i="1" s="1"/>
  <c r="P265" i="1"/>
  <c r="P266" i="1"/>
  <c r="P267" i="1"/>
  <c r="P263" i="1"/>
  <c r="R267" i="1"/>
  <c r="R263" i="1"/>
  <c r="J267" i="1"/>
  <c r="I267" i="1"/>
  <c r="O267" i="1"/>
  <c r="N267" i="1"/>
  <c r="M267" i="1"/>
  <c r="J266" i="1"/>
  <c r="I266" i="1"/>
  <c r="O266" i="1" s="1"/>
  <c r="N266" i="1"/>
  <c r="M266" i="1"/>
  <c r="J265" i="1"/>
  <c r="I265" i="1"/>
  <c r="O265" i="1" s="1"/>
  <c r="N265" i="1"/>
  <c r="M265" i="1"/>
  <c r="J264" i="1"/>
  <c r="I264" i="1"/>
  <c r="N264" i="1"/>
  <c r="M264" i="1"/>
  <c r="J263" i="1"/>
  <c r="J325" i="1" s="1"/>
  <c r="I263" i="1"/>
  <c r="N263" i="1"/>
  <c r="M263" i="1"/>
  <c r="G324" i="1"/>
  <c r="H324" i="1"/>
  <c r="K324" i="1"/>
  <c r="L324" i="1"/>
  <c r="F324" i="1"/>
  <c r="P257" i="1" s="1"/>
  <c r="G323" i="1"/>
  <c r="H323" i="1"/>
  <c r="K323" i="1"/>
  <c r="L323" i="1"/>
  <c r="F323" i="1"/>
  <c r="P250" i="1" s="1"/>
  <c r="P254" i="1"/>
  <c r="P255" i="1"/>
  <c r="R260" i="1"/>
  <c r="R257" i="1"/>
  <c r="J262" i="1"/>
  <c r="I262" i="1"/>
  <c r="O262" i="1" s="1"/>
  <c r="N262" i="1"/>
  <c r="M262" i="1"/>
  <c r="J261" i="1"/>
  <c r="I261" i="1"/>
  <c r="O261" i="1" s="1"/>
  <c r="N261" i="1"/>
  <c r="M261" i="1"/>
  <c r="J260" i="1"/>
  <c r="I260" i="1"/>
  <c r="O260" i="1" s="1"/>
  <c r="N260" i="1"/>
  <c r="M260" i="1"/>
  <c r="J259" i="1"/>
  <c r="I259" i="1"/>
  <c r="O259" i="1" s="1"/>
  <c r="N259" i="1"/>
  <c r="M259" i="1"/>
  <c r="J258" i="1"/>
  <c r="I258" i="1"/>
  <c r="O258" i="1" s="1"/>
  <c r="N258" i="1"/>
  <c r="M258" i="1"/>
  <c r="J257" i="1"/>
  <c r="J324" i="1" s="1"/>
  <c r="I257" i="1"/>
  <c r="O257" i="1" s="1"/>
  <c r="N257" i="1"/>
  <c r="M257" i="1"/>
  <c r="R256" i="1"/>
  <c r="R253" i="1"/>
  <c r="R250" i="1"/>
  <c r="J256" i="1"/>
  <c r="I256" i="1"/>
  <c r="O256" i="1" s="1"/>
  <c r="N256" i="1"/>
  <c r="M256" i="1"/>
  <c r="J255" i="1"/>
  <c r="I255" i="1"/>
  <c r="O255" i="1" s="1"/>
  <c r="N255" i="1"/>
  <c r="M255" i="1"/>
  <c r="J254" i="1"/>
  <c r="I254" i="1"/>
  <c r="O254" i="1" s="1"/>
  <c r="N254" i="1"/>
  <c r="M254" i="1"/>
  <c r="J253" i="1"/>
  <c r="I253" i="1"/>
  <c r="O253" i="1" s="1"/>
  <c r="N253" i="1"/>
  <c r="M253" i="1"/>
  <c r="J252" i="1"/>
  <c r="I252" i="1"/>
  <c r="O252" i="1" s="1"/>
  <c r="N252" i="1"/>
  <c r="M252" i="1"/>
  <c r="J251" i="1"/>
  <c r="I251" i="1"/>
  <c r="O251" i="1" s="1"/>
  <c r="N251" i="1"/>
  <c r="M251" i="1"/>
  <c r="J250" i="1"/>
  <c r="I250" i="1"/>
  <c r="O250" i="1" s="1"/>
  <c r="N250" i="1"/>
  <c r="M250" i="1"/>
  <c r="J249" i="1"/>
  <c r="I249" i="1"/>
  <c r="N249" i="1"/>
  <c r="M249" i="1"/>
  <c r="G322" i="1"/>
  <c r="H322" i="1"/>
  <c r="K322" i="1"/>
  <c r="L322" i="1"/>
  <c r="F322" i="1"/>
  <c r="P244" i="1" s="1"/>
  <c r="R244" i="1"/>
  <c r="R242" i="1"/>
  <c r="M248" i="1"/>
  <c r="N248" i="1"/>
  <c r="I248" i="1"/>
  <c r="O248" i="1" s="1"/>
  <c r="J248" i="1"/>
  <c r="J247" i="1"/>
  <c r="I247" i="1"/>
  <c r="O247" i="1" s="1"/>
  <c r="N247" i="1"/>
  <c r="M247" i="1"/>
  <c r="J246" i="1"/>
  <c r="I246" i="1"/>
  <c r="O246" i="1" s="1"/>
  <c r="N246" i="1"/>
  <c r="M246" i="1"/>
  <c r="J245" i="1"/>
  <c r="I245" i="1"/>
  <c r="O245" i="1" s="1"/>
  <c r="N245" i="1"/>
  <c r="M245" i="1"/>
  <c r="J244" i="1"/>
  <c r="I244" i="1"/>
  <c r="O244" i="1" s="1"/>
  <c r="N244" i="1"/>
  <c r="M244" i="1"/>
  <c r="J243" i="1"/>
  <c r="I243" i="1"/>
  <c r="O243" i="1" s="1"/>
  <c r="N243" i="1"/>
  <c r="M243" i="1"/>
  <c r="J242" i="1"/>
  <c r="J322" i="1" s="1"/>
  <c r="I242" i="1"/>
  <c r="O242" i="1" s="1"/>
  <c r="N242" i="1"/>
  <c r="M242" i="1"/>
  <c r="G321" i="1"/>
  <c r="H321" i="1"/>
  <c r="K321" i="1"/>
  <c r="L321" i="1"/>
  <c r="F321" i="1"/>
  <c r="P238" i="1" s="1"/>
  <c r="R237" i="1"/>
  <c r="J241" i="1"/>
  <c r="I241" i="1"/>
  <c r="O241" i="1" s="1"/>
  <c r="N241" i="1"/>
  <c r="M241" i="1"/>
  <c r="J240" i="1"/>
  <c r="I240" i="1"/>
  <c r="O240" i="1" s="1"/>
  <c r="N240" i="1"/>
  <c r="M240" i="1"/>
  <c r="J239" i="1"/>
  <c r="I239" i="1"/>
  <c r="O239" i="1" s="1"/>
  <c r="N239" i="1"/>
  <c r="M239" i="1"/>
  <c r="J238" i="1"/>
  <c r="I238" i="1"/>
  <c r="O238" i="1" s="1"/>
  <c r="N238" i="1"/>
  <c r="M238" i="1"/>
  <c r="J237" i="1"/>
  <c r="I237" i="1"/>
  <c r="O237" i="1" s="1"/>
  <c r="N237" i="1"/>
  <c r="M237" i="1"/>
  <c r="G320" i="1"/>
  <c r="H320" i="1"/>
  <c r="K320" i="1"/>
  <c r="L320" i="1"/>
  <c r="F320" i="1"/>
  <c r="P233" i="1" s="1"/>
  <c r="J236" i="1"/>
  <c r="I236" i="1"/>
  <c r="O236" i="1" s="1"/>
  <c r="N236" i="1"/>
  <c r="M236" i="1"/>
  <c r="R234" i="1"/>
  <c r="J235" i="1"/>
  <c r="I235" i="1"/>
  <c r="O235" i="1" s="1"/>
  <c r="N235" i="1"/>
  <c r="M235" i="1"/>
  <c r="J234" i="1"/>
  <c r="I234" i="1"/>
  <c r="O234" i="1" s="1"/>
  <c r="N234" i="1"/>
  <c r="M234" i="1"/>
  <c r="J233" i="1"/>
  <c r="I233" i="1"/>
  <c r="O233" i="1" s="1"/>
  <c r="N233" i="1"/>
  <c r="M233" i="1"/>
  <c r="J232" i="1"/>
  <c r="I232" i="1"/>
  <c r="O232" i="1" s="1"/>
  <c r="N232" i="1"/>
  <c r="M232" i="1"/>
  <c r="G319" i="1"/>
  <c r="H319" i="1"/>
  <c r="K319" i="1"/>
  <c r="L319" i="1"/>
  <c r="F319" i="1"/>
  <c r="P230" i="1" s="1"/>
  <c r="R229" i="1"/>
  <c r="R227" i="1"/>
  <c r="J231" i="1"/>
  <c r="I231" i="1"/>
  <c r="O231" i="1" s="1"/>
  <c r="N231" i="1"/>
  <c r="M231" i="1"/>
  <c r="J230" i="1"/>
  <c r="I230" i="1"/>
  <c r="O230" i="1" s="1"/>
  <c r="N230" i="1"/>
  <c r="M230" i="1"/>
  <c r="J229" i="1"/>
  <c r="I229" i="1"/>
  <c r="O229" i="1" s="1"/>
  <c r="N229" i="1"/>
  <c r="M229" i="1"/>
  <c r="J228" i="1"/>
  <c r="I228" i="1"/>
  <c r="O228" i="1" s="1"/>
  <c r="N228" i="1"/>
  <c r="M228" i="1"/>
  <c r="J227" i="1"/>
  <c r="I227" i="1"/>
  <c r="O227" i="1" s="1"/>
  <c r="N227" i="1"/>
  <c r="M227" i="1"/>
  <c r="G318" i="1"/>
  <c r="H318" i="1"/>
  <c r="K318" i="1"/>
  <c r="L318" i="1"/>
  <c r="F318" i="1"/>
  <c r="P224" i="1" s="1"/>
  <c r="R224" i="1"/>
  <c r="R222" i="1"/>
  <c r="J226" i="1"/>
  <c r="I226" i="1"/>
  <c r="O226" i="1" s="1"/>
  <c r="N226" i="1"/>
  <c r="M226" i="1"/>
  <c r="J225" i="1"/>
  <c r="I225" i="1"/>
  <c r="O225" i="1" s="1"/>
  <c r="N225" i="1"/>
  <c r="M225" i="1"/>
  <c r="J224" i="1"/>
  <c r="I224" i="1"/>
  <c r="O224" i="1" s="1"/>
  <c r="N224" i="1"/>
  <c r="M224" i="1"/>
  <c r="J223" i="1"/>
  <c r="I223" i="1"/>
  <c r="O223" i="1" s="1"/>
  <c r="N223" i="1"/>
  <c r="M223" i="1"/>
  <c r="J222" i="1"/>
  <c r="I222" i="1"/>
  <c r="O222" i="1" s="1"/>
  <c r="N222" i="1"/>
  <c r="M222" i="1"/>
  <c r="G317" i="1"/>
  <c r="H317" i="1"/>
  <c r="K317" i="1"/>
  <c r="L317" i="1"/>
  <c r="F317" i="1"/>
  <c r="P217" i="1" s="1"/>
  <c r="R217" i="1"/>
  <c r="R216" i="1"/>
  <c r="J221" i="1"/>
  <c r="I221" i="1"/>
  <c r="O221" i="1" s="1"/>
  <c r="N221" i="1"/>
  <c r="M221" i="1"/>
  <c r="J220" i="1"/>
  <c r="I220" i="1"/>
  <c r="O220" i="1" s="1"/>
  <c r="N220" i="1"/>
  <c r="M220" i="1"/>
  <c r="J219" i="1"/>
  <c r="I219" i="1"/>
  <c r="O219" i="1" s="1"/>
  <c r="N219" i="1"/>
  <c r="M219" i="1"/>
  <c r="J218" i="1"/>
  <c r="I218" i="1"/>
  <c r="N218" i="1"/>
  <c r="M218" i="1"/>
  <c r="J217" i="1"/>
  <c r="I217" i="1"/>
  <c r="O217" i="1" s="1"/>
  <c r="N217" i="1"/>
  <c r="M217" i="1"/>
  <c r="J216" i="1"/>
  <c r="J317" i="1" s="1"/>
  <c r="I216" i="1"/>
  <c r="O216" i="1"/>
  <c r="N216" i="1"/>
  <c r="M216" i="1"/>
  <c r="G316" i="1"/>
  <c r="H316" i="1"/>
  <c r="K316" i="1"/>
  <c r="L316" i="1"/>
  <c r="F316" i="1"/>
  <c r="P214" i="1" s="1"/>
  <c r="P215" i="1"/>
  <c r="R211" i="1"/>
  <c r="M215" i="1"/>
  <c r="N215" i="1"/>
  <c r="I215" i="1"/>
  <c r="O215" i="1" s="1"/>
  <c r="J215" i="1"/>
  <c r="J214" i="1"/>
  <c r="I214" i="1"/>
  <c r="O214" i="1" s="1"/>
  <c r="N214" i="1"/>
  <c r="M214" i="1"/>
  <c r="J213" i="1"/>
  <c r="I213" i="1"/>
  <c r="O213" i="1" s="1"/>
  <c r="N213" i="1"/>
  <c r="M213" i="1"/>
  <c r="J212" i="1"/>
  <c r="I212" i="1"/>
  <c r="O212" i="1" s="1"/>
  <c r="N212" i="1"/>
  <c r="M212" i="1"/>
  <c r="J211" i="1"/>
  <c r="I211" i="1"/>
  <c r="O211" i="1" s="1"/>
  <c r="N211" i="1"/>
  <c r="M211" i="1"/>
  <c r="J210" i="1"/>
  <c r="I210" i="1"/>
  <c r="O210" i="1" s="1"/>
  <c r="N210" i="1"/>
  <c r="M210" i="1"/>
  <c r="G315" i="1"/>
  <c r="H315" i="1"/>
  <c r="K315" i="1"/>
  <c r="L315" i="1"/>
  <c r="F315" i="1"/>
  <c r="P206" i="1" s="1"/>
  <c r="R205" i="1"/>
  <c r="J209" i="1"/>
  <c r="I209" i="1"/>
  <c r="N209" i="1"/>
  <c r="M209" i="1"/>
  <c r="J208" i="1"/>
  <c r="I208" i="1"/>
  <c r="O208" i="1" s="1"/>
  <c r="N208" i="1"/>
  <c r="M208" i="1"/>
  <c r="J207" i="1"/>
  <c r="I207" i="1"/>
  <c r="O207" i="1" s="1"/>
  <c r="N207" i="1"/>
  <c r="M207" i="1"/>
  <c r="J206" i="1"/>
  <c r="I206" i="1"/>
  <c r="O206" i="1" s="1"/>
  <c r="N206" i="1"/>
  <c r="M206" i="1"/>
  <c r="J205" i="1"/>
  <c r="I205" i="1"/>
  <c r="O205" i="1" s="1"/>
  <c r="N205" i="1"/>
  <c r="M205" i="1"/>
  <c r="G314" i="1"/>
  <c r="H314" i="1"/>
  <c r="K314" i="1"/>
  <c r="L314" i="1"/>
  <c r="F314" i="1"/>
  <c r="P204" i="1" s="1"/>
  <c r="R200" i="1"/>
  <c r="R202" i="1"/>
  <c r="R204" i="1"/>
  <c r="J204" i="1"/>
  <c r="I204" i="1"/>
  <c r="O204" i="1" s="1"/>
  <c r="N204" i="1"/>
  <c r="M204" i="1"/>
  <c r="J203" i="1"/>
  <c r="I203" i="1"/>
  <c r="O203" i="1" s="1"/>
  <c r="N203" i="1"/>
  <c r="M203" i="1"/>
  <c r="J202" i="1"/>
  <c r="I202" i="1"/>
  <c r="O202" i="1" s="1"/>
  <c r="N202" i="1"/>
  <c r="M202" i="1"/>
  <c r="J201" i="1"/>
  <c r="J314" i="1" s="1"/>
  <c r="I201" i="1"/>
  <c r="O201" i="1" s="1"/>
  <c r="N201" i="1"/>
  <c r="M201" i="1"/>
  <c r="J200" i="1"/>
  <c r="I200" i="1"/>
  <c r="O200" i="1" s="1"/>
  <c r="N200" i="1"/>
  <c r="M200" i="1"/>
  <c r="G313" i="1"/>
  <c r="H313" i="1"/>
  <c r="K313" i="1"/>
  <c r="L313" i="1"/>
  <c r="F313" i="1"/>
  <c r="P196" i="1" s="1"/>
  <c r="R199" i="1"/>
  <c r="R198" i="1"/>
  <c r="R195" i="1"/>
  <c r="J199" i="1"/>
  <c r="I199" i="1"/>
  <c r="O199" i="1" s="1"/>
  <c r="N199" i="1"/>
  <c r="M199" i="1"/>
  <c r="J198" i="1"/>
  <c r="I198" i="1"/>
  <c r="O198" i="1" s="1"/>
  <c r="N198" i="1"/>
  <c r="M198" i="1"/>
  <c r="J197" i="1"/>
  <c r="I197" i="1"/>
  <c r="O197" i="1" s="1"/>
  <c r="N197" i="1"/>
  <c r="M197" i="1"/>
  <c r="J196" i="1"/>
  <c r="I196" i="1"/>
  <c r="O196" i="1" s="1"/>
  <c r="N196" i="1"/>
  <c r="M196" i="1"/>
  <c r="J195" i="1"/>
  <c r="I195" i="1"/>
  <c r="N195" i="1"/>
  <c r="M195" i="1"/>
  <c r="G312" i="1"/>
  <c r="H312" i="1"/>
  <c r="K312" i="1"/>
  <c r="L312" i="1"/>
  <c r="F312" i="1"/>
  <c r="P190" i="1" s="1"/>
  <c r="R190" i="1"/>
  <c r="J194" i="1"/>
  <c r="I194" i="1"/>
  <c r="O194" i="1" s="1"/>
  <c r="N194" i="1"/>
  <c r="M194" i="1"/>
  <c r="J193" i="1"/>
  <c r="I193" i="1"/>
  <c r="O193" i="1" s="1"/>
  <c r="N193" i="1"/>
  <c r="M193" i="1"/>
  <c r="J192" i="1"/>
  <c r="I192" i="1"/>
  <c r="N192" i="1"/>
  <c r="M192" i="1"/>
  <c r="J191" i="1"/>
  <c r="I191" i="1"/>
  <c r="N191" i="1"/>
  <c r="M191" i="1"/>
  <c r="J190" i="1"/>
  <c r="I190" i="1"/>
  <c r="N190" i="1"/>
  <c r="M190" i="1"/>
  <c r="G311" i="1"/>
  <c r="H311" i="1"/>
  <c r="K311" i="1"/>
  <c r="L311" i="1"/>
  <c r="F311" i="1"/>
  <c r="P185" i="1" s="1"/>
  <c r="P186" i="1"/>
  <c r="P188" i="1"/>
  <c r="P189" i="1"/>
  <c r="R186" i="1"/>
  <c r="R184" i="1"/>
  <c r="J189" i="1"/>
  <c r="I189" i="1"/>
  <c r="O189" i="1" s="1"/>
  <c r="N189" i="1"/>
  <c r="M189" i="1"/>
  <c r="J188" i="1"/>
  <c r="I188" i="1"/>
  <c r="O188" i="1" s="1"/>
  <c r="N188" i="1"/>
  <c r="M188" i="1"/>
  <c r="J187" i="1"/>
  <c r="I187" i="1"/>
  <c r="O187" i="1" s="1"/>
  <c r="N187" i="1"/>
  <c r="M187" i="1"/>
  <c r="J186" i="1"/>
  <c r="I186" i="1"/>
  <c r="O186" i="1" s="1"/>
  <c r="N186" i="1"/>
  <c r="M186" i="1"/>
  <c r="J185" i="1"/>
  <c r="I185" i="1"/>
  <c r="N185" i="1"/>
  <c r="M185" i="1"/>
  <c r="J184" i="1"/>
  <c r="I184" i="1"/>
  <c r="O184" i="1" s="1"/>
  <c r="N184" i="1"/>
  <c r="M184" i="1"/>
  <c r="G310" i="1"/>
  <c r="H310" i="1"/>
  <c r="K310" i="1"/>
  <c r="L310" i="1"/>
  <c r="F310" i="1"/>
  <c r="P180" i="1" s="1"/>
  <c r="R177" i="1"/>
  <c r="J183" i="1"/>
  <c r="I183" i="1"/>
  <c r="O183" i="1" s="1"/>
  <c r="N183" i="1"/>
  <c r="M183" i="1"/>
  <c r="J182" i="1"/>
  <c r="I182" i="1"/>
  <c r="O182" i="1" s="1"/>
  <c r="N182" i="1"/>
  <c r="M182" i="1"/>
  <c r="J181" i="1"/>
  <c r="I181" i="1"/>
  <c r="N181" i="1"/>
  <c r="M181" i="1"/>
  <c r="J180" i="1"/>
  <c r="I180" i="1"/>
  <c r="O180" i="1" s="1"/>
  <c r="N180" i="1"/>
  <c r="M180" i="1"/>
  <c r="J179" i="1"/>
  <c r="I179" i="1"/>
  <c r="O179" i="1" s="1"/>
  <c r="N179" i="1"/>
  <c r="M179" i="1"/>
  <c r="J178" i="1"/>
  <c r="I178" i="1"/>
  <c r="O178" i="1" s="1"/>
  <c r="N178" i="1"/>
  <c r="M178" i="1"/>
  <c r="J177" i="1"/>
  <c r="I177" i="1"/>
  <c r="O177" i="1" s="1"/>
  <c r="N177" i="1"/>
  <c r="M177" i="1"/>
  <c r="G309" i="1"/>
  <c r="H309" i="1"/>
  <c r="K309" i="1"/>
  <c r="L309" i="1"/>
  <c r="F309" i="1"/>
  <c r="P174" i="1" s="1"/>
  <c r="R175" i="1"/>
  <c r="R171" i="1"/>
  <c r="J176" i="1"/>
  <c r="I176" i="1"/>
  <c r="O176" i="1" s="1"/>
  <c r="N176" i="1"/>
  <c r="M176" i="1"/>
  <c r="J175" i="1"/>
  <c r="I175" i="1"/>
  <c r="O175" i="1" s="1"/>
  <c r="N175" i="1"/>
  <c r="M175" i="1"/>
  <c r="J174" i="1"/>
  <c r="I174" i="1"/>
  <c r="O174" i="1" s="1"/>
  <c r="N174" i="1"/>
  <c r="M174" i="1"/>
  <c r="J173" i="1"/>
  <c r="I173" i="1"/>
  <c r="O173" i="1" s="1"/>
  <c r="N173" i="1"/>
  <c r="M173" i="1"/>
  <c r="J172" i="1"/>
  <c r="I172" i="1"/>
  <c r="O172" i="1" s="1"/>
  <c r="N172" i="1"/>
  <c r="M172" i="1"/>
  <c r="J171" i="1"/>
  <c r="I171" i="1"/>
  <c r="O171" i="1" s="1"/>
  <c r="N171" i="1"/>
  <c r="M171" i="1"/>
  <c r="G308" i="1"/>
  <c r="H308" i="1"/>
  <c r="K308" i="1"/>
  <c r="L308" i="1"/>
  <c r="F308" i="1"/>
  <c r="P170" i="1" s="1"/>
  <c r="R166" i="1"/>
  <c r="J170" i="1"/>
  <c r="I170" i="1"/>
  <c r="O170" i="1" s="1"/>
  <c r="N170" i="1"/>
  <c r="M170" i="1"/>
  <c r="J169" i="1"/>
  <c r="I169" i="1"/>
  <c r="O169" i="1" s="1"/>
  <c r="N169" i="1"/>
  <c r="M169" i="1"/>
  <c r="J168" i="1"/>
  <c r="I168" i="1"/>
  <c r="N168" i="1"/>
  <c r="M168" i="1"/>
  <c r="J167" i="1"/>
  <c r="I167" i="1"/>
  <c r="O167" i="1" s="1"/>
  <c r="N167" i="1"/>
  <c r="M167" i="1"/>
  <c r="J166" i="1"/>
  <c r="I166" i="1"/>
  <c r="O166" i="1" s="1"/>
  <c r="N166" i="1"/>
  <c r="M166" i="1"/>
  <c r="G307" i="1"/>
  <c r="H307" i="1"/>
  <c r="K307" i="1"/>
  <c r="L307" i="1"/>
  <c r="F307" i="1"/>
  <c r="P165" i="1" s="1"/>
  <c r="R161" i="1"/>
  <c r="R163" i="1"/>
  <c r="R160" i="1"/>
  <c r="J165" i="1"/>
  <c r="I165" i="1"/>
  <c r="N165" i="1"/>
  <c r="M165" i="1"/>
  <c r="J164" i="1"/>
  <c r="I164" i="1"/>
  <c r="O164" i="1" s="1"/>
  <c r="N164" i="1"/>
  <c r="M164" i="1"/>
  <c r="J163" i="1"/>
  <c r="I163" i="1"/>
  <c r="N163" i="1"/>
  <c r="M163" i="1"/>
  <c r="J162" i="1"/>
  <c r="I162" i="1"/>
  <c r="O162" i="1" s="1"/>
  <c r="N162" i="1"/>
  <c r="M162" i="1"/>
  <c r="J161" i="1"/>
  <c r="I161" i="1"/>
  <c r="O161" i="1" s="1"/>
  <c r="N161" i="1"/>
  <c r="M161" i="1"/>
  <c r="J160" i="1"/>
  <c r="I160" i="1"/>
  <c r="O160" i="1" s="1"/>
  <c r="N160" i="1"/>
  <c r="M160" i="1"/>
  <c r="J159" i="1"/>
  <c r="I159" i="1"/>
  <c r="O159" i="1" s="1"/>
  <c r="N159" i="1"/>
  <c r="M159" i="1"/>
  <c r="J158" i="1"/>
  <c r="I158" i="1"/>
  <c r="O158" i="1" s="1"/>
  <c r="N158" i="1"/>
  <c r="M158" i="1"/>
  <c r="G306" i="1"/>
  <c r="H306" i="1"/>
  <c r="K306" i="1"/>
  <c r="L306" i="1"/>
  <c r="F306" i="1"/>
  <c r="P154" i="1" s="1"/>
  <c r="J157" i="1"/>
  <c r="I157" i="1"/>
  <c r="O157" i="1" s="1"/>
  <c r="N157" i="1"/>
  <c r="M157" i="1"/>
  <c r="J156" i="1"/>
  <c r="I156" i="1"/>
  <c r="O156" i="1" s="1"/>
  <c r="N156" i="1"/>
  <c r="M156" i="1"/>
  <c r="R155" i="1"/>
  <c r="J155" i="1"/>
  <c r="I155" i="1"/>
  <c r="O155" i="1" s="1"/>
  <c r="N155" i="1"/>
  <c r="M155" i="1"/>
  <c r="R154" i="1"/>
  <c r="J154" i="1"/>
  <c r="I154" i="1"/>
  <c r="O154" i="1" s="1"/>
  <c r="N154" i="1"/>
  <c r="M154" i="1"/>
  <c r="J153" i="1"/>
  <c r="I153" i="1"/>
  <c r="O153" i="1"/>
  <c r="N153" i="1"/>
  <c r="M153" i="1"/>
  <c r="R149" i="1"/>
  <c r="R150" i="1"/>
  <c r="R152" i="1"/>
  <c r="R148" i="1"/>
  <c r="G305" i="1"/>
  <c r="H305" i="1"/>
  <c r="K305" i="1"/>
  <c r="L305" i="1"/>
  <c r="F305" i="1"/>
  <c r="P150" i="1" s="1"/>
  <c r="J152" i="1"/>
  <c r="I152" i="1"/>
  <c r="O152" i="1" s="1"/>
  <c r="N152" i="1"/>
  <c r="M152" i="1"/>
  <c r="J151" i="1"/>
  <c r="I151" i="1"/>
  <c r="O151" i="1" s="1"/>
  <c r="N151" i="1"/>
  <c r="M151" i="1"/>
  <c r="J150" i="1"/>
  <c r="I150" i="1"/>
  <c r="O150" i="1"/>
  <c r="N150" i="1"/>
  <c r="M150" i="1"/>
  <c r="J149" i="1"/>
  <c r="I149" i="1"/>
  <c r="N149" i="1"/>
  <c r="M149" i="1"/>
  <c r="J148" i="1"/>
  <c r="I148" i="1"/>
  <c r="O148" i="1" s="1"/>
  <c r="N148" i="1"/>
  <c r="M148" i="1"/>
  <c r="R141" i="1"/>
  <c r="G304" i="1"/>
  <c r="H304" i="1"/>
  <c r="K304" i="1"/>
  <c r="L304" i="1"/>
  <c r="F304" i="1"/>
  <c r="P143" i="1" s="1"/>
  <c r="J147" i="1"/>
  <c r="I147" i="1"/>
  <c r="O147" i="1" s="1"/>
  <c r="N147" i="1"/>
  <c r="M147" i="1"/>
  <c r="J146" i="1"/>
  <c r="I146" i="1"/>
  <c r="N146" i="1"/>
  <c r="M146" i="1"/>
  <c r="J145" i="1"/>
  <c r="I145" i="1"/>
  <c r="O145" i="1" s="1"/>
  <c r="N145" i="1"/>
  <c r="M145" i="1"/>
  <c r="J144" i="1"/>
  <c r="I144" i="1"/>
  <c r="N144" i="1"/>
  <c r="M144" i="1"/>
  <c r="J143" i="1"/>
  <c r="I143" i="1"/>
  <c r="O143" i="1" s="1"/>
  <c r="N143" i="1"/>
  <c r="M143" i="1"/>
  <c r="J142" i="1"/>
  <c r="I142" i="1"/>
  <c r="N142" i="1"/>
  <c r="M142" i="1"/>
  <c r="J141" i="1"/>
  <c r="I141" i="1"/>
  <c r="O141" i="1" s="1"/>
  <c r="N141" i="1"/>
  <c r="M141" i="1"/>
  <c r="P137" i="1"/>
  <c r="P135" i="1"/>
  <c r="G303" i="1"/>
  <c r="H303" i="1"/>
  <c r="K303" i="1"/>
  <c r="L303" i="1"/>
  <c r="F303" i="1"/>
  <c r="P138" i="1" s="1"/>
  <c r="R138" i="1"/>
  <c r="R136" i="1"/>
  <c r="R135" i="1"/>
  <c r="J140" i="1"/>
  <c r="N140" i="1"/>
  <c r="I140" i="1"/>
  <c r="M140" i="1"/>
  <c r="J139" i="1"/>
  <c r="I139" i="1"/>
  <c r="N139" i="1"/>
  <c r="M139" i="1"/>
  <c r="J138" i="1"/>
  <c r="I138" i="1"/>
  <c r="O138" i="1" s="1"/>
  <c r="N138" i="1"/>
  <c r="M138" i="1"/>
  <c r="J137" i="1"/>
  <c r="I137" i="1"/>
  <c r="O137" i="1"/>
  <c r="N137" i="1"/>
  <c r="M137" i="1"/>
  <c r="J136" i="1"/>
  <c r="I136" i="1"/>
  <c r="O136" i="1" s="1"/>
  <c r="N136" i="1"/>
  <c r="M136" i="1"/>
  <c r="J135" i="1"/>
  <c r="I135" i="1"/>
  <c r="O135" i="1" s="1"/>
  <c r="N135" i="1"/>
  <c r="M135" i="1"/>
  <c r="G302" i="1"/>
  <c r="H302" i="1"/>
  <c r="K302" i="1"/>
  <c r="L302" i="1"/>
  <c r="F302" i="1"/>
  <c r="P134" i="1" s="1"/>
  <c r="R132" i="1"/>
  <c r="R130" i="1"/>
  <c r="J134" i="1"/>
  <c r="I134" i="1"/>
  <c r="O134" i="1" s="1"/>
  <c r="N134" i="1"/>
  <c r="M134" i="1"/>
  <c r="J133" i="1"/>
  <c r="I133" i="1"/>
  <c r="O133" i="1" s="1"/>
  <c r="N133" i="1"/>
  <c r="M133" i="1"/>
  <c r="J132" i="1"/>
  <c r="I132" i="1"/>
  <c r="N132" i="1"/>
  <c r="M132" i="1"/>
  <c r="J131" i="1"/>
  <c r="I131" i="1"/>
  <c r="O131" i="1" s="1"/>
  <c r="N131" i="1"/>
  <c r="M131" i="1"/>
  <c r="J130" i="1"/>
  <c r="I130" i="1"/>
  <c r="O130" i="1" s="1"/>
  <c r="N130" i="1"/>
  <c r="M130" i="1"/>
  <c r="R124" i="1"/>
  <c r="R129" i="1"/>
  <c r="R123" i="1"/>
  <c r="G301" i="1"/>
  <c r="H301" i="1"/>
  <c r="K301" i="1"/>
  <c r="L301" i="1"/>
  <c r="F301" i="1"/>
  <c r="P124" i="1" s="1"/>
  <c r="J129" i="1"/>
  <c r="N129" i="1"/>
  <c r="M129" i="1"/>
  <c r="I129" i="1"/>
  <c r="O129" i="1" s="1"/>
  <c r="I127" i="1"/>
  <c r="O127" i="1" s="1"/>
  <c r="I128" i="1"/>
  <c r="O128" i="1" s="1"/>
  <c r="I126" i="1"/>
  <c r="O126" i="1" s="1"/>
  <c r="J128" i="1"/>
  <c r="N128" i="1"/>
  <c r="M128" i="1"/>
  <c r="J127" i="1"/>
  <c r="N127" i="1"/>
  <c r="M127" i="1"/>
  <c r="J126" i="1"/>
  <c r="N126" i="1"/>
  <c r="M126" i="1"/>
  <c r="J125" i="1"/>
  <c r="I125" i="1"/>
  <c r="O125" i="1" s="1"/>
  <c r="N125" i="1"/>
  <c r="M125" i="1"/>
  <c r="J124" i="1"/>
  <c r="I124" i="1"/>
  <c r="O124" i="1" s="1"/>
  <c r="N124" i="1"/>
  <c r="M124" i="1"/>
  <c r="J123" i="1"/>
  <c r="I123" i="1"/>
  <c r="O123" i="1" s="1"/>
  <c r="N123" i="1"/>
  <c r="M123" i="1"/>
  <c r="R122" i="1"/>
  <c r="R116" i="1"/>
  <c r="G300" i="1"/>
  <c r="H300" i="1"/>
  <c r="K300" i="1"/>
  <c r="L300" i="1"/>
  <c r="F300" i="1"/>
  <c r="P118" i="1" s="1"/>
  <c r="J122" i="1"/>
  <c r="I122" i="1"/>
  <c r="O122" i="1" s="1"/>
  <c r="N122" i="1"/>
  <c r="M122" i="1"/>
  <c r="J121" i="1"/>
  <c r="I121" i="1"/>
  <c r="N121" i="1"/>
  <c r="M121" i="1"/>
  <c r="J120" i="1"/>
  <c r="I120" i="1"/>
  <c r="O120" i="1" s="1"/>
  <c r="N120" i="1"/>
  <c r="M120" i="1"/>
  <c r="J119" i="1"/>
  <c r="I119" i="1"/>
  <c r="N119" i="1"/>
  <c r="M119" i="1"/>
  <c r="J118" i="1"/>
  <c r="I118" i="1"/>
  <c r="O118" i="1" s="1"/>
  <c r="N118" i="1"/>
  <c r="M118" i="1"/>
  <c r="J117" i="1"/>
  <c r="I117" i="1"/>
  <c r="N117" i="1"/>
  <c r="M117" i="1"/>
  <c r="J116" i="1"/>
  <c r="I116" i="1"/>
  <c r="O116" i="1" s="1"/>
  <c r="N116" i="1"/>
  <c r="M116" i="1"/>
  <c r="G299" i="1"/>
  <c r="H299" i="1"/>
  <c r="K299" i="1"/>
  <c r="L299" i="1"/>
  <c r="F299" i="1"/>
  <c r="P113" i="1" s="1"/>
  <c r="R111" i="1"/>
  <c r="R112" i="1"/>
  <c r="R110" i="1"/>
  <c r="J115" i="1"/>
  <c r="I115" i="1"/>
  <c r="O115" i="1" s="1"/>
  <c r="N115" i="1"/>
  <c r="M115" i="1"/>
  <c r="J114" i="1"/>
  <c r="I114" i="1"/>
  <c r="O114" i="1" s="1"/>
  <c r="N114" i="1"/>
  <c r="M114" i="1"/>
  <c r="J113" i="1"/>
  <c r="I113" i="1"/>
  <c r="O113" i="1" s="1"/>
  <c r="N113" i="1"/>
  <c r="M113" i="1"/>
  <c r="J112" i="1"/>
  <c r="I112" i="1"/>
  <c r="N112" i="1"/>
  <c r="M112" i="1"/>
  <c r="J111" i="1"/>
  <c r="I111" i="1"/>
  <c r="N111" i="1"/>
  <c r="M111" i="1"/>
  <c r="J110" i="1"/>
  <c r="I110" i="1"/>
  <c r="O110" i="1" s="1"/>
  <c r="N110" i="1"/>
  <c r="M110" i="1"/>
  <c r="R104" i="1"/>
  <c r="G298" i="1"/>
  <c r="H298" i="1"/>
  <c r="K298" i="1"/>
  <c r="L298" i="1"/>
  <c r="F298" i="1"/>
  <c r="P107" i="1" s="1"/>
  <c r="J109" i="1"/>
  <c r="I109" i="1"/>
  <c r="N109" i="1"/>
  <c r="M109" i="1"/>
  <c r="J108" i="1"/>
  <c r="I108" i="1"/>
  <c r="N108" i="1"/>
  <c r="M108" i="1"/>
  <c r="J107" i="1"/>
  <c r="I107" i="1"/>
  <c r="O107" i="1" s="1"/>
  <c r="N107" i="1"/>
  <c r="M107" i="1"/>
  <c r="J106" i="1"/>
  <c r="I106" i="1"/>
  <c r="O106" i="1" s="1"/>
  <c r="N106" i="1"/>
  <c r="M106" i="1"/>
  <c r="J105" i="1"/>
  <c r="I105" i="1"/>
  <c r="N105" i="1"/>
  <c r="M105" i="1"/>
  <c r="J104" i="1"/>
  <c r="I104" i="1"/>
  <c r="O104" i="1" s="1"/>
  <c r="N104" i="1"/>
  <c r="M104" i="1"/>
  <c r="R102" i="1"/>
  <c r="R103" i="1"/>
  <c r="R100" i="1"/>
  <c r="G297" i="1"/>
  <c r="H297" i="1"/>
  <c r="K297" i="1"/>
  <c r="L297" i="1"/>
  <c r="F297" i="1"/>
  <c r="P102" i="1" s="1"/>
  <c r="J103" i="1"/>
  <c r="I103" i="1"/>
  <c r="O103" i="1" s="1"/>
  <c r="N103" i="1"/>
  <c r="M103" i="1"/>
  <c r="J102" i="1"/>
  <c r="I102" i="1"/>
  <c r="O102" i="1" s="1"/>
  <c r="N102" i="1"/>
  <c r="M102" i="1"/>
  <c r="J101" i="1"/>
  <c r="I101" i="1"/>
  <c r="O101" i="1" s="1"/>
  <c r="N101" i="1"/>
  <c r="M101" i="1"/>
  <c r="J100" i="1"/>
  <c r="I100" i="1"/>
  <c r="O100" i="1" s="1"/>
  <c r="N100" i="1"/>
  <c r="M100" i="1"/>
  <c r="G296" i="1"/>
  <c r="H296" i="1"/>
  <c r="K296" i="1"/>
  <c r="L296" i="1"/>
  <c r="F296" i="1"/>
  <c r="P96" i="1" s="1"/>
  <c r="R96" i="1"/>
  <c r="R98" i="1"/>
  <c r="R95" i="1"/>
  <c r="J99" i="1"/>
  <c r="I99" i="1"/>
  <c r="O99" i="1" s="1"/>
  <c r="N99" i="1"/>
  <c r="M99" i="1"/>
  <c r="J98" i="1"/>
  <c r="I98" i="1"/>
  <c r="O98" i="1" s="1"/>
  <c r="N98" i="1"/>
  <c r="M98" i="1"/>
  <c r="J97" i="1"/>
  <c r="I97" i="1"/>
  <c r="O97" i="1" s="1"/>
  <c r="N97" i="1"/>
  <c r="M97" i="1"/>
  <c r="J96" i="1"/>
  <c r="I96" i="1"/>
  <c r="O96" i="1" s="1"/>
  <c r="N96" i="1"/>
  <c r="M96" i="1"/>
  <c r="J95" i="1"/>
  <c r="I95" i="1"/>
  <c r="O95" i="1" s="1"/>
  <c r="N95" i="1"/>
  <c r="M95" i="1"/>
  <c r="R93" i="1"/>
  <c r="R92" i="1"/>
  <c r="R89" i="1"/>
  <c r="G295" i="1"/>
  <c r="H295" i="1"/>
  <c r="K295" i="1"/>
  <c r="L295" i="1"/>
  <c r="F295" i="1"/>
  <c r="P90" i="1" s="1"/>
  <c r="J94" i="1"/>
  <c r="I94" i="1"/>
  <c r="O94" i="1" s="1"/>
  <c r="N94" i="1"/>
  <c r="M94" i="1"/>
  <c r="J93" i="1"/>
  <c r="I93" i="1"/>
  <c r="O93" i="1" s="1"/>
  <c r="N93" i="1"/>
  <c r="M93" i="1"/>
  <c r="J92" i="1"/>
  <c r="I92" i="1"/>
  <c r="O92" i="1" s="1"/>
  <c r="N92" i="1"/>
  <c r="M92" i="1"/>
  <c r="J91" i="1"/>
  <c r="I91" i="1"/>
  <c r="N91" i="1"/>
  <c r="M91" i="1"/>
  <c r="J90" i="1"/>
  <c r="I90" i="1"/>
  <c r="O90" i="1" s="1"/>
  <c r="N90" i="1"/>
  <c r="M90" i="1"/>
  <c r="J89" i="1"/>
  <c r="I89" i="1"/>
  <c r="O89" i="1" s="1"/>
  <c r="N89" i="1"/>
  <c r="M89" i="1"/>
  <c r="R87" i="1"/>
  <c r="R82" i="1"/>
  <c r="G294" i="1"/>
  <c r="H294" i="1"/>
  <c r="K294" i="1"/>
  <c r="L294" i="1"/>
  <c r="F294" i="1"/>
  <c r="P82" i="1" s="1"/>
  <c r="J88" i="1"/>
  <c r="I88" i="1"/>
  <c r="N88" i="1"/>
  <c r="M88" i="1"/>
  <c r="J87" i="1"/>
  <c r="I87" i="1"/>
  <c r="O87" i="1" s="1"/>
  <c r="N87" i="1"/>
  <c r="M87" i="1"/>
  <c r="J86" i="1"/>
  <c r="I86" i="1"/>
  <c r="O86" i="1" s="1"/>
  <c r="N86" i="1"/>
  <c r="M86" i="1"/>
  <c r="J85" i="1"/>
  <c r="I85" i="1"/>
  <c r="N85" i="1"/>
  <c r="M85" i="1"/>
  <c r="J84" i="1"/>
  <c r="I84" i="1"/>
  <c r="O84" i="1" s="1"/>
  <c r="N84" i="1"/>
  <c r="M84" i="1"/>
  <c r="J83" i="1"/>
  <c r="I83" i="1"/>
  <c r="O83" i="1" s="1"/>
  <c r="N83" i="1"/>
  <c r="M83" i="1"/>
  <c r="J82" i="1"/>
  <c r="I82" i="1"/>
  <c r="O82" i="1" s="1"/>
  <c r="N82" i="1"/>
  <c r="M82" i="1"/>
  <c r="G293" i="1"/>
  <c r="H293" i="1"/>
  <c r="K293" i="1"/>
  <c r="L293" i="1"/>
  <c r="F293" i="1"/>
  <c r="P81" i="1" s="1"/>
  <c r="R78" i="1"/>
  <c r="R77" i="1"/>
  <c r="J81" i="1"/>
  <c r="I81" i="1"/>
  <c r="O81" i="1" s="1"/>
  <c r="N81" i="1"/>
  <c r="M81" i="1"/>
  <c r="J80" i="1"/>
  <c r="I80" i="1"/>
  <c r="N80" i="1"/>
  <c r="M80" i="1"/>
  <c r="J79" i="1"/>
  <c r="I79" i="1"/>
  <c r="O79" i="1" s="1"/>
  <c r="N79" i="1"/>
  <c r="M79" i="1"/>
  <c r="J78" i="1"/>
  <c r="I78" i="1"/>
  <c r="O78" i="1" s="1"/>
  <c r="N78" i="1"/>
  <c r="M78" i="1"/>
  <c r="J77" i="1"/>
  <c r="I77" i="1"/>
  <c r="O77" i="1" s="1"/>
  <c r="N77" i="1"/>
  <c r="M77" i="1"/>
  <c r="G292" i="1"/>
  <c r="H292" i="1"/>
  <c r="K292" i="1"/>
  <c r="L292" i="1"/>
  <c r="F292" i="1"/>
  <c r="P71" i="1" s="1"/>
  <c r="R70" i="1"/>
  <c r="M71" i="1"/>
  <c r="N71" i="1"/>
  <c r="M72" i="1"/>
  <c r="N72" i="1"/>
  <c r="M73" i="1"/>
  <c r="N73" i="1"/>
  <c r="M74" i="1"/>
  <c r="N74" i="1"/>
  <c r="M75" i="1"/>
  <c r="N75" i="1"/>
  <c r="M76" i="1"/>
  <c r="N76" i="1"/>
  <c r="N70" i="1"/>
  <c r="M70" i="1"/>
  <c r="I70" i="1"/>
  <c r="J70" i="1"/>
  <c r="I71" i="1"/>
  <c r="O71" i="1" s="1"/>
  <c r="J71" i="1"/>
  <c r="I72" i="1"/>
  <c r="O72" i="1" s="1"/>
  <c r="J72" i="1"/>
  <c r="I73" i="1"/>
  <c r="O73" i="1" s="1"/>
  <c r="J73" i="1"/>
  <c r="I74" i="1"/>
  <c r="O74" i="1" s="1"/>
  <c r="J74" i="1"/>
  <c r="I75" i="1"/>
  <c r="O75" i="1" s="1"/>
  <c r="J75" i="1"/>
  <c r="I76" i="1"/>
  <c r="O76" i="1" s="1"/>
  <c r="J76" i="1"/>
  <c r="R38" i="1"/>
  <c r="R3" i="1"/>
  <c r="R8" i="1"/>
  <c r="R9" i="1"/>
  <c r="R10" i="1"/>
  <c r="R13" i="1"/>
  <c r="R19" i="1"/>
  <c r="R21" i="1"/>
  <c r="R22" i="1"/>
  <c r="R24" i="1"/>
  <c r="R28" i="1"/>
  <c r="R29" i="1"/>
  <c r="R31" i="1"/>
  <c r="R36" i="1"/>
  <c r="R39" i="1"/>
  <c r="R41" i="1"/>
  <c r="R46" i="1"/>
  <c r="R47" i="1"/>
  <c r="R55" i="1"/>
  <c r="R57" i="1"/>
  <c r="R58" i="1"/>
  <c r="R60" i="1"/>
  <c r="R62" i="1"/>
  <c r="R63" i="1"/>
  <c r="R65" i="1"/>
  <c r="R2" i="1"/>
  <c r="G287" i="1"/>
  <c r="H287" i="1"/>
  <c r="K287" i="1"/>
  <c r="L287" i="1"/>
  <c r="F287" i="1"/>
  <c r="P42" i="1" s="1"/>
  <c r="G288" i="1"/>
  <c r="H288" i="1"/>
  <c r="K288" i="1"/>
  <c r="L288" i="1"/>
  <c r="F288" i="1"/>
  <c r="P47" i="1" s="1"/>
  <c r="G289" i="1"/>
  <c r="H289" i="1"/>
  <c r="K289" i="1"/>
  <c r="L289" i="1"/>
  <c r="F289" i="1"/>
  <c r="P55" i="1" s="1"/>
  <c r="G290" i="1"/>
  <c r="H290" i="1"/>
  <c r="K290" i="1"/>
  <c r="L290" i="1"/>
  <c r="F290" i="1"/>
  <c r="P63" i="1" s="1"/>
  <c r="G291" i="1"/>
  <c r="H291" i="1"/>
  <c r="K291" i="1"/>
  <c r="L291" i="1"/>
  <c r="F291" i="1"/>
  <c r="P66" i="1" s="1"/>
  <c r="G286" i="1"/>
  <c r="H286" i="1"/>
  <c r="K286" i="1"/>
  <c r="L286" i="1"/>
  <c r="F286" i="1"/>
  <c r="P39" i="1" s="1"/>
  <c r="G285" i="1"/>
  <c r="H285" i="1"/>
  <c r="K285" i="1"/>
  <c r="L285" i="1"/>
  <c r="F285" i="1"/>
  <c r="P32" i="1" s="1"/>
  <c r="G284" i="1"/>
  <c r="H284" i="1"/>
  <c r="K284" i="1"/>
  <c r="L284" i="1"/>
  <c r="F284" i="1"/>
  <c r="P26" i="1" s="1"/>
  <c r="G283" i="1"/>
  <c r="H283" i="1"/>
  <c r="K283" i="1"/>
  <c r="L283" i="1"/>
  <c r="F283" i="1"/>
  <c r="P23" i="1" s="1"/>
  <c r="G282" i="1"/>
  <c r="H282" i="1"/>
  <c r="K282" i="1"/>
  <c r="L282" i="1"/>
  <c r="F282" i="1"/>
  <c r="P13" i="1" s="1"/>
  <c r="G281" i="1"/>
  <c r="H281" i="1"/>
  <c r="K281" i="1"/>
  <c r="L281" i="1"/>
  <c r="F281" i="1"/>
  <c r="P9" i="1" s="1"/>
  <c r="G280" i="1"/>
  <c r="H280" i="1"/>
  <c r="K280" i="1"/>
  <c r="L280" i="1"/>
  <c r="F280" i="1"/>
  <c r="P7" i="1" s="1"/>
  <c r="M3" i="1"/>
  <c r="N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N2" i="1"/>
  <c r="M2" i="1"/>
  <c r="J64" i="1"/>
  <c r="I64" i="1"/>
  <c r="O64" i="1" s="1"/>
  <c r="J63" i="1"/>
  <c r="I63" i="1"/>
  <c r="O63" i="1" s="1"/>
  <c r="J62" i="1"/>
  <c r="I62" i="1"/>
  <c r="O62" i="1" s="1"/>
  <c r="J61" i="1"/>
  <c r="I61" i="1"/>
  <c r="J60" i="1"/>
  <c r="I60" i="1"/>
  <c r="O60" i="1" s="1"/>
  <c r="J59" i="1"/>
  <c r="I59" i="1"/>
  <c r="O59" i="1" s="1"/>
  <c r="J58" i="1"/>
  <c r="I58" i="1"/>
  <c r="J57" i="1"/>
  <c r="I57" i="1"/>
  <c r="O57" i="1" s="1"/>
  <c r="J56" i="1"/>
  <c r="I56" i="1"/>
  <c r="O56" i="1" s="1"/>
  <c r="J55" i="1"/>
  <c r="I55" i="1"/>
  <c r="O55" i="1" s="1"/>
  <c r="J54" i="1"/>
  <c r="I54" i="1"/>
  <c r="O54" i="1" s="1"/>
  <c r="J53" i="1"/>
  <c r="I53" i="1"/>
  <c r="I46" i="1"/>
  <c r="O46" i="1" s="1"/>
  <c r="J46" i="1"/>
  <c r="I47" i="1"/>
  <c r="O47" i="1" s="1"/>
  <c r="J47" i="1"/>
  <c r="I48" i="1"/>
  <c r="O48" i="1" s="1"/>
  <c r="J48" i="1"/>
  <c r="I49" i="1"/>
  <c r="O49" i="1" s="1"/>
  <c r="J49" i="1"/>
  <c r="I50" i="1"/>
  <c r="O50" i="1" s="1"/>
  <c r="J50" i="1"/>
  <c r="I41" i="1"/>
  <c r="O41" i="1" s="1"/>
  <c r="J41" i="1"/>
  <c r="I42" i="1"/>
  <c r="O42" i="1" s="1"/>
  <c r="J42" i="1"/>
  <c r="I43" i="1"/>
  <c r="O43" i="1" s="1"/>
  <c r="J43" i="1"/>
  <c r="I44" i="1"/>
  <c r="J44" i="1"/>
  <c r="I45" i="1"/>
  <c r="O45" i="1" s="1"/>
  <c r="J45" i="1"/>
  <c r="I51" i="1"/>
  <c r="O51" i="1" s="1"/>
  <c r="J51" i="1"/>
  <c r="I52" i="1"/>
  <c r="J52" i="1"/>
  <c r="J69" i="1"/>
  <c r="I69" i="1"/>
  <c r="O69" i="1" s="1"/>
  <c r="J68" i="1"/>
  <c r="I68" i="1"/>
  <c r="O68" i="1" s="1"/>
  <c r="J67" i="1"/>
  <c r="I67" i="1"/>
  <c r="O67" i="1" s="1"/>
  <c r="J66" i="1"/>
  <c r="I66" i="1"/>
  <c r="J65" i="1"/>
  <c r="I65" i="1"/>
  <c r="O65" i="1" s="1"/>
  <c r="J40" i="1"/>
  <c r="I40" i="1"/>
  <c r="O40" i="1" s="1"/>
  <c r="J39" i="1"/>
  <c r="I39" i="1"/>
  <c r="J38" i="1"/>
  <c r="I38" i="1"/>
  <c r="O38" i="1" s="1"/>
  <c r="J37" i="1"/>
  <c r="I37" i="1"/>
  <c r="J36" i="1"/>
  <c r="I36" i="1"/>
  <c r="O36" i="1" s="1"/>
  <c r="J35" i="1"/>
  <c r="I35" i="1"/>
  <c r="O35" i="1" s="1"/>
  <c r="J34" i="1"/>
  <c r="I34" i="1"/>
  <c r="O34" i="1" s="1"/>
  <c r="J33" i="1"/>
  <c r="I33" i="1"/>
  <c r="O33" i="1" s="1"/>
  <c r="J32" i="1"/>
  <c r="I32" i="1"/>
  <c r="O32" i="1" s="1"/>
  <c r="J31" i="1"/>
  <c r="I31" i="1"/>
  <c r="J30" i="1"/>
  <c r="I30" i="1"/>
  <c r="O30" i="1" s="1"/>
  <c r="J29" i="1"/>
  <c r="I29" i="1"/>
  <c r="O29" i="1" s="1"/>
  <c r="J28" i="1"/>
  <c r="I28" i="1"/>
  <c r="O28" i="1" s="1"/>
  <c r="I17" i="1"/>
  <c r="O17" i="1" s="1"/>
  <c r="I15" i="1"/>
  <c r="O15" i="1" s="1"/>
  <c r="J15" i="1"/>
  <c r="I16" i="1"/>
  <c r="O16" i="1" s="1"/>
  <c r="J16" i="1"/>
  <c r="J17" i="1"/>
  <c r="I18" i="1"/>
  <c r="O18" i="1" s="1"/>
  <c r="J18" i="1"/>
  <c r="I19" i="1"/>
  <c r="O19" i="1" s="1"/>
  <c r="J19" i="1"/>
  <c r="I20" i="1"/>
  <c r="J20" i="1"/>
  <c r="I21" i="1"/>
  <c r="O21" i="1" s="1"/>
  <c r="J21" i="1"/>
  <c r="I22" i="1"/>
  <c r="O22" i="1" s="1"/>
  <c r="J22" i="1"/>
  <c r="I23" i="1"/>
  <c r="O23" i="1" s="1"/>
  <c r="J23" i="1"/>
  <c r="I24" i="1"/>
  <c r="J24" i="1"/>
  <c r="I25" i="1"/>
  <c r="O25" i="1" s="1"/>
  <c r="J25" i="1"/>
  <c r="I26" i="1"/>
  <c r="O26" i="1" s="1"/>
  <c r="J26" i="1"/>
  <c r="I27" i="1"/>
  <c r="O27" i="1" s="1"/>
  <c r="J27" i="1"/>
  <c r="I3" i="1"/>
  <c r="O3" i="1" s="1"/>
  <c r="J3" i="1"/>
  <c r="I4" i="1"/>
  <c r="O4" i="1" s="1"/>
  <c r="J4" i="1"/>
  <c r="I5" i="1"/>
  <c r="O5" i="1" s="1"/>
  <c r="J5" i="1"/>
  <c r="I6" i="1"/>
  <c r="O6" i="1" s="1"/>
  <c r="J6" i="1"/>
  <c r="I7" i="1"/>
  <c r="J7" i="1"/>
  <c r="I8" i="1"/>
  <c r="O8" i="1" s="1"/>
  <c r="J8" i="1"/>
  <c r="I9" i="1"/>
  <c r="J9" i="1"/>
  <c r="I10" i="1"/>
  <c r="O10" i="1" s="1"/>
  <c r="J10" i="1"/>
  <c r="I11" i="1"/>
  <c r="O11" i="1" s="1"/>
  <c r="J11" i="1"/>
  <c r="I12" i="1"/>
  <c r="O12" i="1" s="1"/>
  <c r="J12" i="1"/>
  <c r="I13" i="1"/>
  <c r="O13" i="1" s="1"/>
  <c r="J13" i="1"/>
  <c r="I14" i="1"/>
  <c r="O14" i="1" s="1"/>
  <c r="J14" i="1"/>
  <c r="J2" i="1"/>
  <c r="I2" i="1"/>
  <c r="O2" i="1" s="1"/>
  <c r="P277" i="1" l="1"/>
  <c r="P276" i="1"/>
  <c r="J319" i="1"/>
  <c r="J323" i="1"/>
  <c r="I317" i="1"/>
  <c r="Q217" i="1" s="1"/>
  <c r="J318" i="1"/>
  <c r="J321" i="1"/>
  <c r="J316" i="1"/>
  <c r="O264" i="1"/>
  <c r="I325" i="1"/>
  <c r="Q267" i="1" s="1"/>
  <c r="Q268" i="1"/>
  <c r="J320" i="1"/>
  <c r="P237" i="1"/>
  <c r="P243" i="1"/>
  <c r="P241" i="1"/>
  <c r="I326" i="1"/>
  <c r="Q271" i="1" s="1"/>
  <c r="P203" i="1"/>
  <c r="P240" i="1"/>
  <c r="O263" i="1"/>
  <c r="P270" i="1"/>
  <c r="P184" i="1"/>
  <c r="P201" i="1"/>
  <c r="P239" i="1"/>
  <c r="Q269" i="1"/>
  <c r="P272" i="1"/>
  <c r="P271" i="1"/>
  <c r="I312" i="1"/>
  <c r="Q192" i="1" s="1"/>
  <c r="P242" i="1"/>
  <c r="P258" i="1"/>
  <c r="P133" i="1"/>
  <c r="P148" i="1"/>
  <c r="P209" i="1"/>
  <c r="I319" i="1"/>
  <c r="P123" i="1"/>
  <c r="J305" i="1"/>
  <c r="P149" i="1"/>
  <c r="P173" i="1"/>
  <c r="I313" i="1"/>
  <c r="P229" i="1"/>
  <c r="I320" i="1"/>
  <c r="O249" i="1"/>
  <c r="I323" i="1"/>
  <c r="Q250" i="1" s="1"/>
  <c r="P249" i="1"/>
  <c r="P251" i="1"/>
  <c r="I322" i="1"/>
  <c r="Q246" i="1" s="1"/>
  <c r="Q262" i="1"/>
  <c r="I324" i="1"/>
  <c r="Q258" i="1" s="1"/>
  <c r="I321" i="1"/>
  <c r="P262" i="1"/>
  <c r="J313" i="1"/>
  <c r="P161" i="1"/>
  <c r="P187" i="1"/>
  <c r="J315" i="1"/>
  <c r="Q244" i="1"/>
  <c r="Q254" i="1"/>
  <c r="P259" i="1"/>
  <c r="Q260" i="1"/>
  <c r="P261" i="1"/>
  <c r="P260" i="1"/>
  <c r="P253" i="1"/>
  <c r="P256" i="1"/>
  <c r="P252" i="1"/>
  <c r="P248" i="1"/>
  <c r="P247" i="1"/>
  <c r="P246" i="1"/>
  <c r="P245" i="1"/>
  <c r="P232" i="1"/>
  <c r="P236" i="1"/>
  <c r="P235" i="1"/>
  <c r="P234" i="1"/>
  <c r="P228" i="1"/>
  <c r="P227" i="1"/>
  <c r="P231" i="1"/>
  <c r="Q216" i="1"/>
  <c r="Q218" i="1"/>
  <c r="Q199" i="1"/>
  <c r="Q198" i="1"/>
  <c r="J308" i="1"/>
  <c r="Q197" i="1"/>
  <c r="I314" i="1"/>
  <c r="Q200" i="1" s="1"/>
  <c r="O209" i="1"/>
  <c r="P208" i="1"/>
  <c r="P195" i="1"/>
  <c r="J310" i="1"/>
  <c r="J311" i="1"/>
  <c r="J312" i="1"/>
  <c r="P198" i="1"/>
  <c r="P207" i="1"/>
  <c r="I315" i="1"/>
  <c r="Q208" i="1" s="1"/>
  <c r="O218" i="1"/>
  <c r="Q221" i="1"/>
  <c r="J307" i="1"/>
  <c r="O195" i="1"/>
  <c r="P197" i="1"/>
  <c r="P205" i="1"/>
  <c r="P213" i="1"/>
  <c r="Q220" i="1"/>
  <c r="P223" i="1"/>
  <c r="I318" i="1"/>
  <c r="Q223" i="1" s="1"/>
  <c r="P177" i="1"/>
  <c r="P212" i="1"/>
  <c r="I316" i="1"/>
  <c r="Q214" i="1" s="1"/>
  <c r="Q219" i="1"/>
  <c r="I308" i="1"/>
  <c r="Q167" i="1" s="1"/>
  <c r="J309" i="1"/>
  <c r="P178" i="1"/>
  <c r="Q222" i="1"/>
  <c r="Q225" i="1"/>
  <c r="P222" i="1"/>
  <c r="P226" i="1"/>
  <c r="P225" i="1"/>
  <c r="P216" i="1"/>
  <c r="P221" i="1"/>
  <c r="P220" i="1"/>
  <c r="P219" i="1"/>
  <c r="P218" i="1"/>
  <c r="P211" i="1"/>
  <c r="P210" i="1"/>
  <c r="P202" i="1"/>
  <c r="P200" i="1"/>
  <c r="Q196" i="1"/>
  <c r="Q195" i="1"/>
  <c r="P199" i="1"/>
  <c r="Q168" i="1"/>
  <c r="Q191" i="1"/>
  <c r="O168" i="1"/>
  <c r="O181" i="1"/>
  <c r="I310" i="1"/>
  <c r="Q181" i="1" s="1"/>
  <c r="O190" i="1"/>
  <c r="P191" i="1"/>
  <c r="Q194" i="1"/>
  <c r="I309" i="1"/>
  <c r="Q172" i="1" s="1"/>
  <c r="P179" i="1"/>
  <c r="O185" i="1"/>
  <c r="O192" i="1"/>
  <c r="P194" i="1"/>
  <c r="P168" i="1"/>
  <c r="I311" i="1"/>
  <c r="Q186" i="1" s="1"/>
  <c r="Q193" i="1"/>
  <c r="J306" i="1"/>
  <c r="P193" i="1"/>
  <c r="J303" i="1"/>
  <c r="P136" i="1"/>
  <c r="P153" i="1"/>
  <c r="P160" i="1"/>
  <c r="Q170" i="1"/>
  <c r="P176" i="1"/>
  <c r="P183" i="1"/>
  <c r="O191" i="1"/>
  <c r="P156" i="1"/>
  <c r="P159" i="1"/>
  <c r="Q169" i="1"/>
  <c r="P192" i="1"/>
  <c r="P155" i="1"/>
  <c r="P172" i="1"/>
  <c r="P182" i="1"/>
  <c r="Q180" i="1"/>
  <c r="P181" i="1"/>
  <c r="P171" i="1"/>
  <c r="P175" i="1"/>
  <c r="P167" i="1"/>
  <c r="P166" i="1"/>
  <c r="P169" i="1"/>
  <c r="P157" i="1"/>
  <c r="I305" i="1"/>
  <c r="Q152" i="1" s="1"/>
  <c r="P116" i="1"/>
  <c r="J301" i="1"/>
  <c r="J302" i="1"/>
  <c r="P158" i="1"/>
  <c r="I307" i="1"/>
  <c r="Q164" i="1" s="1"/>
  <c r="J294" i="1"/>
  <c r="P119" i="1"/>
  <c r="P132" i="1"/>
  <c r="P152" i="1"/>
  <c r="P164" i="1"/>
  <c r="J300" i="1"/>
  <c r="P117" i="1"/>
  <c r="P131" i="1"/>
  <c r="I304" i="1"/>
  <c r="Q141" i="1" s="1"/>
  <c r="P151" i="1"/>
  <c r="O165" i="1"/>
  <c r="P163" i="1"/>
  <c r="J304" i="1"/>
  <c r="I306" i="1"/>
  <c r="Q157" i="1" s="1"/>
  <c r="P162" i="1"/>
  <c r="O163" i="1"/>
  <c r="O149" i="1"/>
  <c r="P142" i="1"/>
  <c r="P141" i="1"/>
  <c r="O132" i="1"/>
  <c r="I303" i="1"/>
  <c r="Q140" i="1" s="1"/>
  <c r="O144" i="1"/>
  <c r="I302" i="1"/>
  <c r="Q133" i="1" s="1"/>
  <c r="O139" i="1"/>
  <c r="O146" i="1"/>
  <c r="P147" i="1"/>
  <c r="P146" i="1"/>
  <c r="P140" i="1"/>
  <c r="P145" i="1"/>
  <c r="P130" i="1"/>
  <c r="P139" i="1"/>
  <c r="P144" i="1"/>
  <c r="O142" i="1"/>
  <c r="O140" i="1"/>
  <c r="O117" i="1"/>
  <c r="P122" i="1"/>
  <c r="P128" i="1"/>
  <c r="O119" i="1"/>
  <c r="P121" i="1"/>
  <c r="P127" i="1"/>
  <c r="J298" i="1"/>
  <c r="P129" i="1"/>
  <c r="P120" i="1"/>
  <c r="P126" i="1"/>
  <c r="I301" i="1"/>
  <c r="Q126" i="1" s="1"/>
  <c r="P125" i="1"/>
  <c r="I300" i="1"/>
  <c r="Q116" i="1" s="1"/>
  <c r="O121" i="1"/>
  <c r="J296" i="1"/>
  <c r="J299" i="1"/>
  <c r="P112" i="1"/>
  <c r="I299" i="1"/>
  <c r="Q112" i="1" s="1"/>
  <c r="P111" i="1"/>
  <c r="J297" i="1"/>
  <c r="O112" i="1"/>
  <c r="P110" i="1"/>
  <c r="P100" i="1"/>
  <c r="P115" i="1"/>
  <c r="P101" i="1"/>
  <c r="O111" i="1"/>
  <c r="P114" i="1"/>
  <c r="P95" i="1"/>
  <c r="P106" i="1"/>
  <c r="J295" i="1"/>
  <c r="P105" i="1"/>
  <c r="I298" i="1"/>
  <c r="Q108" i="1" s="1"/>
  <c r="O109" i="1"/>
  <c r="P99" i="1"/>
  <c r="P98" i="1"/>
  <c r="O108" i="1"/>
  <c r="P104" i="1"/>
  <c r="P97" i="1"/>
  <c r="P109" i="1"/>
  <c r="P85" i="1"/>
  <c r="I295" i="1"/>
  <c r="Q93" i="1" s="1"/>
  <c r="P103" i="1"/>
  <c r="P108" i="1"/>
  <c r="I297" i="1"/>
  <c r="P83" i="1"/>
  <c r="I296" i="1"/>
  <c r="Q96" i="1" s="1"/>
  <c r="O105" i="1"/>
  <c r="P88" i="1"/>
  <c r="P87" i="1"/>
  <c r="P89" i="1"/>
  <c r="O85" i="1"/>
  <c r="P86" i="1"/>
  <c r="O91" i="1"/>
  <c r="P94" i="1"/>
  <c r="P93" i="1"/>
  <c r="I294" i="1"/>
  <c r="Q84" i="1" s="1"/>
  <c r="P84" i="1"/>
  <c r="P92" i="1"/>
  <c r="P91" i="1"/>
  <c r="O88" i="1"/>
  <c r="P79" i="1"/>
  <c r="P73" i="1"/>
  <c r="P72" i="1"/>
  <c r="J292" i="1"/>
  <c r="P70" i="1"/>
  <c r="J293" i="1"/>
  <c r="P75" i="1"/>
  <c r="I292" i="1"/>
  <c r="Q72" i="1" s="1"/>
  <c r="P74" i="1"/>
  <c r="O70" i="1"/>
  <c r="P80" i="1"/>
  <c r="P76" i="1"/>
  <c r="P78" i="1"/>
  <c r="I293" i="1"/>
  <c r="Q80" i="1" s="1"/>
  <c r="P77" i="1"/>
  <c r="O80" i="1"/>
  <c r="P10" i="1"/>
  <c r="J287" i="1"/>
  <c r="P6" i="1"/>
  <c r="P22" i="1"/>
  <c r="P5" i="1"/>
  <c r="J291" i="1"/>
  <c r="J290" i="1"/>
  <c r="P19" i="1"/>
  <c r="I289" i="1"/>
  <c r="Q57" i="1" s="1"/>
  <c r="J280" i="1"/>
  <c r="I284" i="1"/>
  <c r="Q27" i="1" s="1"/>
  <c r="J286" i="1"/>
  <c r="J289" i="1"/>
  <c r="P20" i="1"/>
  <c r="I285" i="1"/>
  <c r="Q31" i="1" s="1"/>
  <c r="J288" i="1"/>
  <c r="J283" i="1"/>
  <c r="O20" i="1"/>
  <c r="I281" i="1"/>
  <c r="Q10" i="1" s="1"/>
  <c r="I280" i="1"/>
  <c r="Q7" i="1" s="1"/>
  <c r="O61" i="1"/>
  <c r="O44" i="1"/>
  <c r="O37" i="1"/>
  <c r="O31" i="1"/>
  <c r="P2" i="1"/>
  <c r="P21" i="1"/>
  <c r="P25" i="1"/>
  <c r="I290" i="1"/>
  <c r="Q61" i="1" s="1"/>
  <c r="P65" i="1"/>
  <c r="P62" i="1"/>
  <c r="P54" i="1"/>
  <c r="P41" i="1"/>
  <c r="P38" i="1"/>
  <c r="I291" i="1"/>
  <c r="Q66" i="1" s="1"/>
  <c r="P69" i="1"/>
  <c r="P61" i="1"/>
  <c r="P46" i="1"/>
  <c r="P45" i="1"/>
  <c r="P37" i="1"/>
  <c r="I286" i="1"/>
  <c r="Q37" i="1" s="1"/>
  <c r="P68" i="1"/>
  <c r="P53" i="1"/>
  <c r="P52" i="1"/>
  <c r="P44" i="1"/>
  <c r="P67" i="1"/>
  <c r="P59" i="1"/>
  <c r="P51" i="1"/>
  <c r="P43" i="1"/>
  <c r="J285" i="1"/>
  <c r="O39" i="1"/>
  <c r="P4" i="1"/>
  <c r="J282" i="1"/>
  <c r="O66" i="1"/>
  <c r="O53" i="1"/>
  <c r="P58" i="1"/>
  <c r="P50" i="1"/>
  <c r="I287" i="1"/>
  <c r="Q43" i="1" s="1"/>
  <c r="P60" i="1"/>
  <c r="P57" i="1"/>
  <c r="P49" i="1"/>
  <c r="P36" i="1"/>
  <c r="J281" i="1"/>
  <c r="I288" i="1"/>
  <c r="Q52" i="1" s="1"/>
  <c r="P64" i="1"/>
  <c r="P56" i="1"/>
  <c r="P48" i="1"/>
  <c r="P40" i="1"/>
  <c r="J284" i="1"/>
  <c r="O58" i="1"/>
  <c r="O52" i="1"/>
  <c r="O7" i="1"/>
  <c r="P18" i="1"/>
  <c r="P24" i="1"/>
  <c r="O9" i="1"/>
  <c r="P16" i="1"/>
  <c r="P29" i="1"/>
  <c r="P3" i="1"/>
  <c r="P8" i="1"/>
  <c r="P15" i="1"/>
  <c r="P28" i="1"/>
  <c r="P27" i="1"/>
  <c r="P17" i="1"/>
  <c r="I283" i="1"/>
  <c r="Q20" i="1" s="1"/>
  <c r="P30" i="1"/>
  <c r="P12" i="1"/>
  <c r="I282" i="1"/>
  <c r="Q16" i="1" s="1"/>
  <c r="P14" i="1"/>
  <c r="O24" i="1"/>
  <c r="P11" i="1"/>
  <c r="P31" i="1"/>
  <c r="P35" i="1"/>
  <c r="P34" i="1"/>
  <c r="P33" i="1"/>
  <c r="Q226" i="1" l="1"/>
  <c r="Q190" i="1"/>
  <c r="Q255" i="1"/>
  <c r="Q147" i="1"/>
  <c r="Q252" i="1"/>
  <c r="Q263" i="1"/>
  <c r="Q272" i="1"/>
  <c r="Q264" i="1"/>
  <c r="Q143" i="1"/>
  <c r="Q173" i="1"/>
  <c r="Q265" i="1"/>
  <c r="Q266" i="1"/>
  <c r="Q270" i="1"/>
  <c r="Q237" i="1"/>
  <c r="Q241" i="1"/>
  <c r="Q142" i="1"/>
  <c r="Q239" i="1"/>
  <c r="Q235" i="1"/>
  <c r="Q236" i="1"/>
  <c r="Q233" i="1"/>
  <c r="Q210" i="1"/>
  <c r="Q234" i="1"/>
  <c r="Q229" i="1"/>
  <c r="Q231" i="1"/>
  <c r="Q228" i="1"/>
  <c r="Q230" i="1"/>
  <c r="Q227" i="1"/>
  <c r="Q261" i="1"/>
  <c r="Q256" i="1"/>
  <c r="Q253" i="1"/>
  <c r="Q257" i="1"/>
  <c r="Q245" i="1"/>
  <c r="Q247" i="1"/>
  <c r="Q243" i="1"/>
  <c r="Q248" i="1"/>
  <c r="Q251" i="1"/>
  <c r="Q145" i="1"/>
  <c r="Q176" i="1"/>
  <c r="Q212" i="1"/>
  <c r="Q259" i="1"/>
  <c r="Q232" i="1"/>
  <c r="Q224" i="1"/>
  <c r="Q240" i="1"/>
  <c r="Q242" i="1"/>
  <c r="Q238" i="1"/>
  <c r="Q249" i="1"/>
  <c r="Q110" i="1"/>
  <c r="Q124" i="1"/>
  <c r="Q211" i="1"/>
  <c r="Q215" i="1"/>
  <c r="Q213" i="1"/>
  <c r="Q206" i="1"/>
  <c r="Q205" i="1"/>
  <c r="Q207" i="1"/>
  <c r="Q146" i="1"/>
  <c r="Q183" i="1"/>
  <c r="Q166" i="1"/>
  <c r="Q209" i="1"/>
  <c r="Q202" i="1"/>
  <c r="Q203" i="1"/>
  <c r="Q148" i="1"/>
  <c r="Q144" i="1"/>
  <c r="Q177" i="1"/>
  <c r="Q115" i="1"/>
  <c r="Q204" i="1"/>
  <c r="Q201" i="1"/>
  <c r="Q117" i="1"/>
  <c r="Q113" i="1"/>
  <c r="Q184" i="1"/>
  <c r="Q189" i="1"/>
  <c r="Q125" i="1"/>
  <c r="Q127" i="1"/>
  <c r="Q187" i="1"/>
  <c r="Q188" i="1"/>
  <c r="Q178" i="1"/>
  <c r="Q182" i="1"/>
  <c r="Q179" i="1"/>
  <c r="Q151" i="1"/>
  <c r="Q174" i="1"/>
  <c r="Q175" i="1"/>
  <c r="Q171" i="1"/>
  <c r="Q185" i="1"/>
  <c r="Q161" i="1"/>
  <c r="Q162" i="1"/>
  <c r="Q159" i="1"/>
  <c r="Q154" i="1"/>
  <c r="Q165" i="1"/>
  <c r="Q150" i="1"/>
  <c r="Q138" i="1"/>
  <c r="Q139" i="1"/>
  <c r="Q160" i="1"/>
  <c r="Q158" i="1"/>
  <c r="Q163" i="1"/>
  <c r="Q114" i="1"/>
  <c r="Q118" i="1"/>
  <c r="Q136" i="1"/>
  <c r="Q135" i="1"/>
  <c r="Q137" i="1"/>
  <c r="Q149" i="1"/>
  <c r="Q156" i="1"/>
  <c r="Q155" i="1"/>
  <c r="Q153" i="1"/>
  <c r="Q119" i="1"/>
  <c r="Q134" i="1"/>
  <c r="Q130" i="1"/>
  <c r="Q132" i="1"/>
  <c r="Q131" i="1"/>
  <c r="Q128" i="1"/>
  <c r="Q120" i="1"/>
  <c r="Q121" i="1"/>
  <c r="Q90" i="1"/>
  <c r="Q89" i="1"/>
  <c r="Q92" i="1"/>
  <c r="Q129" i="1"/>
  <c r="Q123" i="1"/>
  <c r="Q122" i="1"/>
  <c r="Q95" i="1"/>
  <c r="Q91" i="1"/>
  <c r="Q106" i="1"/>
  <c r="Q94" i="1"/>
  <c r="Q111" i="1"/>
  <c r="Q98" i="1"/>
  <c r="Q109" i="1"/>
  <c r="Q107" i="1"/>
  <c r="Q97" i="1"/>
  <c r="Q99" i="1"/>
  <c r="Q105" i="1"/>
  <c r="Q104" i="1"/>
  <c r="Q101" i="1"/>
  <c r="Q102" i="1"/>
  <c r="Q103" i="1"/>
  <c r="Q100" i="1"/>
  <c r="Q82" i="1"/>
  <c r="Q87" i="1"/>
  <c r="Q86" i="1"/>
  <c r="Q83" i="1"/>
  <c r="Q85" i="1"/>
  <c r="Q88" i="1"/>
  <c r="Q33" i="1"/>
  <c r="Q77" i="1"/>
  <c r="Q2" i="1"/>
  <c r="Q5" i="1"/>
  <c r="Q54" i="1"/>
  <c r="Q59" i="1"/>
  <c r="Q53" i="1"/>
  <c r="Q58" i="1"/>
  <c r="Q55" i="1"/>
  <c r="Q56" i="1"/>
  <c r="Q30" i="1"/>
  <c r="Q75" i="1"/>
  <c r="Q81" i="1"/>
  <c r="Q70" i="1"/>
  <c r="Q73" i="1"/>
  <c r="Q71" i="1"/>
  <c r="Q11" i="1"/>
  <c r="Q8" i="1"/>
  <c r="Q40" i="1"/>
  <c r="Q12" i="1"/>
  <c r="Q76" i="1"/>
  <c r="Q74" i="1"/>
  <c r="Q38" i="1"/>
  <c r="Q4" i="1"/>
  <c r="Q34" i="1"/>
  <c r="Q79" i="1"/>
  <c r="Q78" i="1"/>
  <c r="Q41" i="1"/>
  <c r="Q15" i="1"/>
  <c r="Q35" i="1"/>
  <c r="Q32" i="1"/>
  <c r="Q64" i="1"/>
  <c r="Q62" i="1"/>
  <c r="Q42" i="1"/>
  <c r="Q9" i="1"/>
  <c r="Q3" i="1"/>
  <c r="Q68" i="1"/>
  <c r="Q24" i="1"/>
  <c r="Q45" i="1"/>
  <c r="Q44" i="1"/>
  <c r="Q67" i="1"/>
  <c r="Q25" i="1"/>
  <c r="Q26" i="1"/>
  <c r="Q60" i="1"/>
  <c r="Q28" i="1"/>
  <c r="Q39" i="1"/>
  <c r="Q13" i="1"/>
  <c r="Q29" i="1"/>
  <c r="Q36" i="1"/>
  <c r="Q17" i="1"/>
  <c r="Q46" i="1"/>
  <c r="Q22" i="1"/>
  <c r="Q48" i="1"/>
  <c r="Q63" i="1"/>
  <c r="Q47" i="1"/>
  <c r="Q21" i="1"/>
  <c r="Q69" i="1"/>
  <c r="Q23" i="1"/>
  <c r="Q50" i="1"/>
  <c r="Q18" i="1"/>
  <c r="Q19" i="1"/>
  <c r="Q49" i="1"/>
  <c r="Q51" i="1"/>
  <c r="Q6" i="1"/>
  <c r="Q14" i="1"/>
  <c r="Q65" i="1"/>
</calcChain>
</file>

<file path=xl/sharedStrings.xml><?xml version="1.0" encoding="utf-8"?>
<sst xmlns="http://schemas.openxmlformats.org/spreadsheetml/2006/main" count="1447" uniqueCount="148">
  <si>
    <t>Season</t>
  </si>
  <si>
    <t>Club</t>
  </si>
  <si>
    <t>Player</t>
  </si>
  <si>
    <t>MP</t>
  </si>
  <si>
    <t>Starts</t>
  </si>
  <si>
    <t>Minutes</t>
  </si>
  <si>
    <t>G</t>
  </si>
  <si>
    <t>A</t>
  </si>
  <si>
    <t>G+A</t>
  </si>
  <si>
    <t>G-PK</t>
  </si>
  <si>
    <t>PK</t>
  </si>
  <si>
    <t>PKAtt</t>
  </si>
  <si>
    <t>2017-18</t>
  </si>
  <si>
    <t>Liverpool FC</t>
  </si>
  <si>
    <t>Roberto Firmino</t>
  </si>
  <si>
    <t>Mohamed Salah</t>
  </si>
  <si>
    <t>Sadio Mane</t>
  </si>
  <si>
    <t>Dominic Solanke</t>
  </si>
  <si>
    <t>Daniel Sturridge</t>
  </si>
  <si>
    <t>Danny Ings</t>
  </si>
  <si>
    <t>Arsenal FC</t>
  </si>
  <si>
    <t>Alexandre Lacazette</t>
  </si>
  <si>
    <t>Olivier Giroud</t>
  </si>
  <si>
    <t>Pierre-Emerick Aubameyang</t>
  </si>
  <si>
    <t>Theo Walcott</t>
  </si>
  <si>
    <t>Eddie Nketiah</t>
  </si>
  <si>
    <t>Chelsea FC</t>
  </si>
  <si>
    <t>Eden Hazard</t>
  </si>
  <si>
    <t>Alvaro Morata</t>
  </si>
  <si>
    <t>Pedro</t>
  </si>
  <si>
    <t>Michy Batshuayi</t>
  </si>
  <si>
    <t>Kenedy</t>
  </si>
  <si>
    <t>Manchester City</t>
  </si>
  <si>
    <t>Raheem Sterling</t>
  </si>
  <si>
    <t>Leroy Sane</t>
  </si>
  <si>
    <t xml:space="preserve">Sergio Aguero </t>
  </si>
  <si>
    <t>Gabriel Jesus</t>
  </si>
  <si>
    <t>Bernardo Silva</t>
  </si>
  <si>
    <t>Manchester United</t>
  </si>
  <si>
    <t>Romelu Lukaku</t>
  </si>
  <si>
    <t>Marcus Rashford</t>
  </si>
  <si>
    <t>Juan Mata</t>
  </si>
  <si>
    <t>Jesse Lingard</t>
  </si>
  <si>
    <t>Anthony Martial</t>
  </si>
  <si>
    <t>Alexis Sanchez</t>
  </si>
  <si>
    <t>Zlatan Ibrahimovic</t>
  </si>
  <si>
    <t>Tottenham Hotspur</t>
  </si>
  <si>
    <t>Harry Kane</t>
  </si>
  <si>
    <t>Dele Alli</t>
  </si>
  <si>
    <t>Son Heung-min</t>
  </si>
  <si>
    <t>Fernando Llorente</t>
  </si>
  <si>
    <t>Lucas Moura</t>
  </si>
  <si>
    <t>Divock Origi</t>
  </si>
  <si>
    <t>2018-19</t>
  </si>
  <si>
    <t>Erik Lamela</t>
  </si>
  <si>
    <t>Alex Iwobi</t>
  </si>
  <si>
    <t>Henrikh Mkhitaryan</t>
  </si>
  <si>
    <t>Willian</t>
  </si>
  <si>
    <t>Gonzalo Higuain</t>
  </si>
  <si>
    <t>Callum Hudson-Odoi</t>
  </si>
  <si>
    <t>Riyad Mahrez</t>
  </si>
  <si>
    <t>Brahim Diaz</t>
  </si>
  <si>
    <t>Andreas Pereira</t>
  </si>
  <si>
    <t>G/90</t>
  </si>
  <si>
    <t>A/90</t>
  </si>
  <si>
    <t>G+A/90</t>
  </si>
  <si>
    <t>liverpool fc</t>
  </si>
  <si>
    <t>total</t>
  </si>
  <si>
    <t>Minutes Share</t>
  </si>
  <si>
    <t>arsenal fc</t>
  </si>
  <si>
    <t>chelsea</t>
  </si>
  <si>
    <t>Man city</t>
  </si>
  <si>
    <t>man utd</t>
  </si>
  <si>
    <t>Tottenham</t>
  </si>
  <si>
    <t>G+A Share</t>
  </si>
  <si>
    <t>PK Conversion</t>
  </si>
  <si>
    <t>2019-20</t>
  </si>
  <si>
    <t>Adam Lallana</t>
  </si>
  <si>
    <t>Curtis Jones</t>
  </si>
  <si>
    <t>Xherdan Shaqiri</t>
  </si>
  <si>
    <t>Nicolas Pepe</t>
  </si>
  <si>
    <t>Reiss Nelson</t>
  </si>
  <si>
    <t>Tammy Abraham</t>
  </si>
  <si>
    <t>Christian Pulisic</t>
  </si>
  <si>
    <t>Phil Foden</t>
  </si>
  <si>
    <t>Daniel James</t>
  </si>
  <si>
    <t>Mason Greenwood</t>
  </si>
  <si>
    <t>Odion Ighalo</t>
  </si>
  <si>
    <t>2020-21</t>
  </si>
  <si>
    <t>Diogo Jota</t>
  </si>
  <si>
    <t>Takumi Minamino</t>
  </si>
  <si>
    <t>Gabriel Martinelli</t>
  </si>
  <si>
    <t>Timo Werner</t>
  </si>
  <si>
    <t>Kai Havertz</t>
  </si>
  <si>
    <t>Hakim Ziyech</t>
  </si>
  <si>
    <t>Ferran Torres</t>
  </si>
  <si>
    <t>Edinson Cavani</t>
  </si>
  <si>
    <t>Gareth Bale</t>
  </si>
  <si>
    <t>Steven Bergwijn</t>
  </si>
  <si>
    <t>2021-22</t>
  </si>
  <si>
    <t>Luis Diaz</t>
  </si>
  <si>
    <t>Bukayo Saka</t>
  </si>
  <si>
    <t>Jack Grealish</t>
  </si>
  <si>
    <t>Cole Palmer</t>
  </si>
  <si>
    <t>Cristiano Ronaldo</t>
  </si>
  <si>
    <t>Anthony Elanga</t>
  </si>
  <si>
    <t>Dejan Kulusevski</t>
  </si>
  <si>
    <t>2022-23</t>
  </si>
  <si>
    <t>Darwin Nunez</t>
  </si>
  <si>
    <t>Cody Gakpo</t>
  </si>
  <si>
    <t>Fabio Carvalho</t>
  </si>
  <si>
    <t>Leandro Trossard</t>
  </si>
  <si>
    <t>Conor Gallagher</t>
  </si>
  <si>
    <t>Joao Feliz</t>
  </si>
  <si>
    <t>Erling Haaland</t>
  </si>
  <si>
    <t>Julian Alvarez</t>
  </si>
  <si>
    <t>Wout Weghorst</t>
  </si>
  <si>
    <t>Alejandro Garnacho</t>
  </si>
  <si>
    <t>Richarlison</t>
  </si>
  <si>
    <t>2023-24</t>
  </si>
  <si>
    <t>Jayden Danns</t>
  </si>
  <si>
    <t>Nicolas Jackson</t>
  </si>
  <si>
    <t>Armando Broja</t>
  </si>
  <si>
    <t>Christopher Nkunku</t>
  </si>
  <si>
    <t>Oscar Bobb</t>
  </si>
  <si>
    <t>Rasmus Hojlund</t>
  </si>
  <si>
    <t>Antony</t>
  </si>
  <si>
    <t>Brennan Johnson</t>
  </si>
  <si>
    <t>2024-25</t>
  </si>
  <si>
    <t>Federico Chiesa</t>
  </si>
  <si>
    <t>Mikel Merino</t>
  </si>
  <si>
    <t>Ethan Nwaneri</t>
  </si>
  <si>
    <t>Pedro Neto</t>
  </si>
  <si>
    <t>Tyrique George</t>
  </si>
  <si>
    <t>Marc Guiu</t>
  </si>
  <si>
    <t>Savio</t>
  </si>
  <si>
    <t>Omar Marmoush</t>
  </si>
  <si>
    <t>Joshua Zirkzee</t>
  </si>
  <si>
    <t>Mason Mount</t>
  </si>
  <si>
    <t>Amad Diallo</t>
  </si>
  <si>
    <t>Row Labels</t>
  </si>
  <si>
    <t>Grand Total</t>
  </si>
  <si>
    <t>Column Labels</t>
  </si>
  <si>
    <t>Sum of G+A</t>
  </si>
  <si>
    <t xml:space="preserve">Only three players, Salah, Son and Harry Kane have 200+ goals in all competitions for big six teams since 17/18 to 24/25, and only Salah has 300+ goals. Apart from that, Salah is one of the only four players to play every season since 17/18 for big six club, alongisde Son, Jesus and Sterling. But only son and salah have played for just one club in the duration, while Jesus and sterling switched teams. </t>
  </si>
  <si>
    <t>Average of G+A/90</t>
  </si>
  <si>
    <t>Average of G+A Share</t>
  </si>
  <si>
    <t>Average of Minutes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</si>
</sst>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8"/>
      <name val="Calibri"/>
      <family val="2"/>
      <scheme val="minor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2" borderId="0" xfId="0" applyFont="1" applyFill="1"/>
    <xf numFmtId="164" fontId="2" fillId="2" borderId="0" xfId="0" applyNumberFormat="1" applyFont="1" applyFill="1"/>
    <xf numFmtId="10" fontId="2" fillId="2" borderId="0" xfId="1" applyNumberFormat="1" applyFont="1" applyFill="1"/>
    <xf numFmtId="9" fontId="2" fillId="0" borderId="0" xfId="1" applyFont="1"/>
    <xf numFmtId="10" fontId="2" fillId="0" borderId="0" xfId="1" applyNumberFormat="1" applyFont="1"/>
    <xf numFmtId="9" fontId="2" fillId="3" borderId="0" xfId="1" applyFont="1" applyFill="1"/>
    <xf numFmtId="9" fontId="2" fillId="2" borderId="0" xfId="1" applyFont="1" applyFill="1"/>
    <xf numFmtId="164" fontId="2" fillId="0" borderId="0" xfId="0" applyNumberFormat="1" applyFont="1"/>
    <xf numFmtId="10" fontId="2" fillId="0" borderId="0" xfId="1" applyNumberFormat="1" applyFont="1" applyFill="1"/>
    <xf numFmtId="164" fontId="3" fillId="0" borderId="0" xfId="0" applyNumberFormat="1" applyFont="1" applyAlignment="1">
      <alignment horizontal="center"/>
    </xf>
    <xf numFmtId="165" fontId="2" fillId="2" borderId="0" xfId="1" applyNumberFormat="1" applyFont="1" applyFill="1"/>
    <xf numFmtId="0" fontId="5" fillId="0" borderId="0" xfId="0" pivotButton="1" applyFo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1" xfId="0" applyFont="1" applyBorder="1"/>
    <xf numFmtId="164" fontId="5" fillId="0" borderId="0" xfId="0" applyNumberFormat="1" applyFont="1"/>
    <xf numFmtId="0" fontId="5" fillId="0" borderId="1" xfId="0" applyFont="1" applyBorder="1" applyAlignment="1">
      <alignment horizontal="left"/>
    </xf>
    <xf numFmtId="0" fontId="5" fillId="2" borderId="1" xfId="0" applyFont="1" applyFill="1" applyBorder="1"/>
    <xf numFmtId="0" fontId="5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108"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4" tint="0.79998168889431442"/>
        </patternFill>
      </fill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33F0FF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ya" refreshedDate="46050.938120949075" createdVersion="8" refreshedVersion="8" minRefreshableVersion="3" recordCount="276" xr:uid="{2EE22D58-1D85-4B97-8596-C84D14FD0DA0}">
  <cacheSource type="worksheet">
    <worksheetSource name="Table1"/>
  </cacheSource>
  <cacheFields count="18">
    <cacheField name="Season" numFmtId="0">
      <sharedItems count="8">
        <s v="2017-18"/>
        <s v="2018-19"/>
        <s v="2019-20"/>
        <s v="2020-21"/>
        <s v="2021-22"/>
        <s v="2022-23"/>
        <s v="2023-24"/>
        <s v="2024-25"/>
      </sharedItems>
    </cacheField>
    <cacheField name="Club" numFmtId="0">
      <sharedItems count="6">
        <s v="Liverpool FC"/>
        <s v="Arsenal FC"/>
        <s v="Chelsea FC"/>
        <s v="Manchester City"/>
        <s v="Manchester United"/>
        <s v="Tottenham Hotspur"/>
      </sharedItems>
    </cacheField>
    <cacheField name="Player" numFmtId="0">
      <sharedItems count="101">
        <s v="Roberto Firmino"/>
        <s v="Mohamed Salah"/>
        <s v="Sadio Mane"/>
        <s v="Dominic Solanke"/>
        <s v="Daniel Sturridge"/>
        <s v="Danny Ings"/>
        <s v="Alexandre Lacazette"/>
        <s v="Olivier Giroud"/>
        <s v="Pierre-Emerick Aubameyang"/>
        <s v="Theo Walcott"/>
        <s v="Eddie Nketiah"/>
        <s v="Eden Hazard"/>
        <s v="Alvaro Morata"/>
        <s v="Pedro"/>
        <s v="Michy Batshuayi"/>
        <s v="Kenedy"/>
        <s v="Raheem Sterling"/>
        <s v="Leroy Sane"/>
        <s v="Sergio Aguero "/>
        <s v="Gabriel Jesus"/>
        <s v="Bernardo Silva"/>
        <s v="Romelu Lukaku"/>
        <s v="Marcus Rashford"/>
        <s v="Juan Mata"/>
        <s v="Jesse Lingard"/>
        <s v="Anthony Martial"/>
        <s v="Alexis Sanchez"/>
        <s v="Zlatan Ibrahimovic"/>
        <s v="Harry Kane"/>
        <s v="Dele Alli"/>
        <s v="Son Heung-min"/>
        <s v="Fernando Llorente"/>
        <s v="Lucas Moura"/>
        <s v="Divock Origi"/>
        <s v="Alex Iwobi"/>
        <s v="Henrikh Mkhitaryan"/>
        <s v="Willian"/>
        <s v="Gonzalo Higuain"/>
        <s v="Callum Hudson-Odoi"/>
        <s v="Riyad Mahrez"/>
        <s v="Brahim Diaz"/>
        <s v="Andreas Pereira"/>
        <s v="Erik Lamela"/>
        <s v="Adam Lallana"/>
        <s v="Curtis Jones"/>
        <s v="Xherdan Shaqiri"/>
        <s v="Nicolas Pepe"/>
        <s v="Reiss Nelson"/>
        <s v="Tammy Abraham"/>
        <s v="Christian Pulisic"/>
        <s v="Phil Foden"/>
        <s v="Daniel James"/>
        <s v="Mason Greenwood"/>
        <s v="Odion Ighalo"/>
        <s v="Diogo Jota"/>
        <s v="Takumi Minamino"/>
        <s v="Gabriel Martinelli"/>
        <s v="Timo Werner"/>
        <s v="Kai Havertz"/>
        <s v="Hakim Ziyech"/>
        <s v="Ferran Torres"/>
        <s v="Edinson Cavani"/>
        <s v="Gareth Bale"/>
        <s v="Steven Bergwijn"/>
        <s v="Luis Diaz"/>
        <s v="Bukayo Saka"/>
        <s v="Jack Grealish"/>
        <s v="Cole Palmer"/>
        <s v="Cristiano Ronaldo"/>
        <s v="Anthony Elanga"/>
        <s v="Dejan Kulusevski"/>
        <s v="Darwin Nunez"/>
        <s v="Cody Gakpo"/>
        <s v="Fabio Carvalho"/>
        <s v="Leandro Trossard"/>
        <s v="Conor Gallagher"/>
        <s v="Joao Feliz"/>
        <s v="Erling Haaland"/>
        <s v="Julian Alvarez"/>
        <s v="Wout Weghorst"/>
        <s v="Alejandro Garnacho"/>
        <s v="Richarlison"/>
        <s v="Jayden Danns"/>
        <s v="Nicolas Jackson"/>
        <s v="Armando Broja"/>
        <s v="Christopher Nkunku"/>
        <s v="Oscar Bobb"/>
        <s v="Rasmus Hojlund"/>
        <s v="Antony"/>
        <s v="Brennan Johnson"/>
        <s v="Federico Chiesa"/>
        <s v="Mikel Merino"/>
        <s v="Ethan Nwaneri"/>
        <s v="Pedro Neto"/>
        <s v="Tyrique George"/>
        <s v="Marc Guiu"/>
        <s v="Savio"/>
        <s v="Omar Marmoush"/>
        <s v="Amad Diallo"/>
        <s v="Joshua Zirkzee"/>
        <s v="Mason Mount"/>
      </sharedItems>
    </cacheField>
    <cacheField name="MP" numFmtId="0">
      <sharedItems containsSemiMixedTypes="0" containsString="0" containsNumber="1" containsInteger="1" minValue="4" maxValue="58" count="52">
        <n v="52"/>
        <n v="50"/>
        <n v="42"/>
        <n v="26"/>
        <n v="14"/>
        <n v="39"/>
        <n v="16"/>
        <n v="10"/>
        <n v="51"/>
        <n v="48"/>
        <n v="25"/>
        <n v="18"/>
        <n v="5"/>
        <n v="46"/>
        <n v="49"/>
        <n v="53"/>
        <n v="40"/>
        <n v="45"/>
        <n v="7"/>
        <n v="31"/>
        <n v="11"/>
        <n v="21"/>
        <n v="47"/>
        <n v="9"/>
        <n v="56"/>
        <n v="24"/>
        <n v="44"/>
        <n v="4"/>
        <n v="38"/>
        <n v="36"/>
        <n v="22"/>
        <n v="33"/>
        <n v="35"/>
        <n v="20"/>
        <n v="12"/>
        <n v="17"/>
        <n v="34"/>
        <n v="23"/>
        <n v="32"/>
        <n v="19"/>
        <n v="41"/>
        <n v="30"/>
        <n v="43"/>
        <n v="37"/>
        <n v="29"/>
        <n v="57"/>
        <n v="55"/>
        <n v="27"/>
        <n v="15"/>
        <n v="28"/>
        <n v="54"/>
        <n v="58"/>
      </sharedItems>
    </cacheField>
    <cacheField name="Starts" numFmtId="0">
      <sharedItems containsSemiMixedTypes="0" containsString="0" containsNumber="1" containsInteger="1" minValue="0" maxValue="50"/>
    </cacheField>
    <cacheField name="Minutes" numFmtId="0">
      <sharedItems containsSemiMixedTypes="0" containsString="0" containsNumber="1" containsInteger="1" minValue="83" maxValue="4490" count="263">
        <n v="3999"/>
        <n v="3927"/>
        <n v="3284"/>
        <n v="736"/>
        <n v="514"/>
        <n v="365"/>
        <n v="2746"/>
        <n v="1270"/>
        <n v="1147"/>
        <n v="922"/>
        <n v="132"/>
        <n v="3718"/>
        <n v="2795"/>
        <n v="2508"/>
        <n v="1074"/>
        <n v="932"/>
        <n v="432"/>
        <n v="3561"/>
        <n v="3612"/>
        <n v="2926"/>
        <n v="2591"/>
        <n v="2809"/>
        <n v="4073"/>
        <n v="2683"/>
        <n v="2666"/>
        <n v="2647"/>
        <n v="2339"/>
        <n v="1532"/>
        <n v="190"/>
        <n v="3946"/>
        <n v="3773"/>
        <n v="3367"/>
        <n v="996"/>
        <n v="457"/>
        <n v="4331"/>
        <n v="682"/>
        <n v="4295"/>
        <n v="3348"/>
        <n v="3854"/>
        <n v="3327"/>
        <n v="2840"/>
        <n v="2525"/>
        <n v="336"/>
        <n v="3909"/>
        <n v="3547"/>
        <n v="3091"/>
        <n v="2204"/>
        <n v="1492"/>
        <n v="1307"/>
        <n v="1172"/>
        <n v="4121"/>
        <n v="4028"/>
        <n v="3345"/>
        <n v="2698"/>
        <n v="2583"/>
        <n v="2301"/>
        <n v="211"/>
        <n v="3281"/>
        <n v="3036"/>
        <n v="2357"/>
        <n v="2191"/>
        <n v="915"/>
        <n v="3339"/>
        <n v="3306"/>
        <n v="3194"/>
        <n v="1618"/>
        <n v="1294"/>
        <n v="3869"/>
        <n v="3795"/>
        <n v="3570"/>
        <n v="1372"/>
        <n v="803"/>
        <n v="621"/>
        <n v="231"/>
        <n v="3724"/>
        <n v="2715"/>
        <n v="2572"/>
        <n v="1044"/>
        <n v="846"/>
        <n v="3357"/>
        <n v="2955"/>
        <n v="1487"/>
        <n v="1399"/>
        <n v="1277"/>
        <n v="674"/>
        <n v="4012"/>
        <n v="3332"/>
        <n v="3311"/>
        <n v="3150"/>
        <n v="2085"/>
        <n v="1783"/>
        <n v="3552"/>
        <n v="3459"/>
        <n v="3028"/>
        <n v="2631"/>
        <n v="612"/>
        <n v="3196"/>
        <n v="3160"/>
        <n v="3037"/>
        <n v="2791"/>
        <n v="4199"/>
        <n v="3746"/>
        <n v="3360"/>
        <n v="1760"/>
        <n v="781"/>
        <n v="542"/>
        <n v="3043"/>
        <n v="2934"/>
        <n v="2444"/>
        <n v="1892"/>
        <n v="1224"/>
        <n v="802"/>
        <n v="3818"/>
        <n v="2521"/>
        <n v="2458"/>
        <n v="1896"/>
        <n v="1853"/>
        <n v="1539"/>
        <n v="1209"/>
        <n v="3702"/>
        <n v="3440"/>
        <n v="3378"/>
        <n v="2110"/>
        <n v="728"/>
        <n v="4144"/>
        <n v="3142"/>
        <n v="2415"/>
        <n v="2192"/>
        <n v="1518"/>
        <n v="3806"/>
        <n v="3788"/>
        <n v="2425"/>
        <n v="1665"/>
        <n v="1612"/>
        <n v="1318"/>
        <n v="4008"/>
        <n v="3565"/>
        <n v="1814"/>
        <n v="1686"/>
        <n v="1021"/>
        <n v="605"/>
        <n v="3343"/>
        <n v="2328"/>
        <n v="2100"/>
        <n v="1231"/>
        <n v="1112"/>
        <n v="3035"/>
        <n v="2589"/>
        <n v="2390"/>
        <n v="2122"/>
        <n v="1790"/>
        <n v="3941"/>
        <n v="3210"/>
        <n v="3126"/>
        <n v="2757"/>
        <n v="2601"/>
        <n v="517"/>
        <n v="417"/>
        <n v="3186"/>
        <n v="1693"/>
        <n v="1657"/>
        <n v="1448"/>
        <n v="916"/>
        <n v="4209"/>
        <n v="3526"/>
        <n v="2352"/>
        <n v="1388"/>
        <n v="1034"/>
        <n v="871"/>
        <n v="4292"/>
        <n v="2393"/>
        <n v="1848"/>
        <n v="1743"/>
        <n v="1394"/>
        <n v="1354"/>
        <n v="646"/>
        <n v="3733"/>
        <n v="3427"/>
        <n v="2337"/>
        <n v="1877"/>
        <n v="1071"/>
        <n v="600"/>
        <n v="3249"/>
        <n v="2544"/>
        <n v="2035"/>
        <n v="1185"/>
        <n v="957"/>
        <n v="4116"/>
        <n v="3608"/>
        <n v="3474"/>
        <n v="3060"/>
        <n v="2545"/>
        <n v="4287"/>
        <n v="1678"/>
        <n v="1436"/>
        <n v="1217"/>
        <n v="1055"/>
        <n v="4299"/>
        <n v="3770"/>
        <n v="2407"/>
        <n v="1471"/>
        <n v="400"/>
        <n v="3596"/>
        <n v="3131"/>
        <n v="3030"/>
        <n v="3017"/>
        <n v="1711"/>
        <n v="83"/>
        <n v="3844"/>
        <n v="3817"/>
        <n v="2628"/>
        <n v="2264"/>
        <n v="1907"/>
        <n v="1408"/>
        <n v="3629"/>
        <n v="3518"/>
        <n v="2751"/>
        <n v="553"/>
        <n v="3638"/>
        <n v="1934"/>
        <n v="795"/>
        <n v="3560"/>
        <n v="3072"/>
        <n v="3046"/>
        <n v="635"/>
        <n v="1910"/>
        <n v="2984"/>
        <n v="2991"/>
        <n v="2238"/>
        <n v="1734"/>
        <n v="899"/>
        <n v="4490"/>
        <n v="3323"/>
        <n v="2690"/>
        <n v="2058"/>
        <n v="1831"/>
        <n v="470"/>
        <n v="117"/>
        <n v="3551"/>
        <n v="3452"/>
        <n v="2810"/>
        <n v="2640"/>
        <n v="2609"/>
        <n v="1387"/>
        <n v="1207"/>
        <n v="3631"/>
        <n v="2790"/>
        <n v="2389"/>
        <n v="1899"/>
        <n v="1083"/>
        <n v="464"/>
        <n v="3777"/>
        <n v="2841"/>
        <n v="2776"/>
        <n v="1547"/>
        <n v="1526"/>
        <n v="3571"/>
        <n v="3309"/>
        <n v="2266"/>
        <n v="969"/>
        <n v="2201"/>
        <n v="2177"/>
        <n v="516"/>
      </sharedItems>
    </cacheField>
    <cacheField name="G" numFmtId="0">
      <sharedItems containsSemiMixedTypes="0" containsString="0" containsNumber="1" containsInteger="1" minValue="0" maxValue="52"/>
    </cacheField>
    <cacheField name="A" numFmtId="0">
      <sharedItems containsSemiMixedTypes="0" containsString="0" containsNumber="1" containsInteger="1" minValue="0" maxValue="23"/>
    </cacheField>
    <cacheField name="G+A" numFmtId="0">
      <sharedItems containsSemiMixedTypes="0" containsString="0" containsNumber="1" containsInteger="1" minValue="1" maxValue="61"/>
    </cacheField>
    <cacheField name="G-PK" numFmtId="0">
      <sharedItems containsSemiMixedTypes="0" containsString="0" containsNumber="1" containsInteger="1" minValue="0" maxValue="44"/>
    </cacheField>
    <cacheField name="PK" numFmtId="0">
      <sharedItems containsSemiMixedTypes="0" containsString="0" containsNumber="1" containsInteger="1" minValue="0" maxValue="11"/>
    </cacheField>
    <cacheField name="PKAtt" numFmtId="0">
      <sharedItems containsSemiMixedTypes="0" containsString="0" containsNumber="1" containsInteger="1" minValue="0" maxValue="12"/>
    </cacheField>
    <cacheField name="G/90" numFmtId="164">
      <sharedItems containsSemiMixedTypes="0" containsString="0" containsNumber="1" minValue="0" maxValue="0.57777777777777772"/>
    </cacheField>
    <cacheField name="A/90" numFmtId="164">
      <sharedItems containsSemiMixedTypes="0" containsString="0" containsNumber="1" minValue="0" maxValue="0.25555555555555554"/>
    </cacheField>
    <cacheField name="G+A/90" numFmtId="164">
      <sharedItems containsSemiMixedTypes="0" containsString="0" containsNumber="1" minValue="1.1111111111111112E-2" maxValue="0.67777777777777781"/>
    </cacheField>
    <cacheField name="Minutes Share" numFmtId="0">
      <sharedItems containsSemiMixedTypes="0" containsString="0" containsNumber="1" minValue="5.6974190005491488E-3" maxValue="0.44319239119197767"/>
    </cacheField>
    <cacheField name="G+A Share" numFmtId="0">
      <sharedItems containsSemiMixedTypes="0" containsString="0" containsNumber="1" minValue="7.6335877862595417E-3" maxValue="0.55714285714285716"/>
    </cacheField>
    <cacheField name="PK Conversion" numFmtId="0">
      <sharedItems containsString="0" containsBlank="1" containsNumber="1" minValue="0" maxValue="1" count="15">
        <n v="0.33333333333333331"/>
        <n v="0.5"/>
        <m/>
        <n v="1"/>
        <n v="0.75"/>
        <n v="0.83333333333333337"/>
        <n v="0"/>
        <n v="0.66666666666666663"/>
        <n v="0.8"/>
        <n v="0.77777777777777779"/>
        <n v="0.875"/>
        <n v="0.88888888888888884"/>
        <n v="0.9"/>
        <n v="0.91666666666666663"/>
        <n v="0.6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">
  <r>
    <x v="0"/>
    <x v="0"/>
    <x v="0"/>
    <x v="0"/>
    <n v="47"/>
    <x v="0"/>
    <n v="26"/>
    <n v="16"/>
    <n v="42"/>
    <n v="25"/>
    <n v="1"/>
    <n v="3"/>
    <n v="0.28888888888888886"/>
    <n v="0.17777777777777778"/>
    <n v="0.46666666666666667"/>
    <n v="0.31181286549707604"/>
    <n v="0.30434782608695654"/>
    <x v="0"/>
  </r>
  <r>
    <x v="0"/>
    <x v="0"/>
    <x v="1"/>
    <x v="1"/>
    <n v="47"/>
    <x v="1"/>
    <n v="43"/>
    <n v="14"/>
    <n v="57"/>
    <n v="42"/>
    <n v="1"/>
    <n v="2"/>
    <n v="0.4777777777777778"/>
    <n v="0.15555555555555556"/>
    <n v="0.6333333333333333"/>
    <n v="0.30619883040935675"/>
    <n v="0.41304347826086957"/>
    <x v="1"/>
  </r>
  <r>
    <x v="0"/>
    <x v="0"/>
    <x v="2"/>
    <x v="2"/>
    <n v="41"/>
    <x v="2"/>
    <n v="20"/>
    <n v="9"/>
    <n v="29"/>
    <n v="20"/>
    <n v="0"/>
    <n v="0"/>
    <n v="0.22222222222222221"/>
    <n v="0.1"/>
    <n v="0.32222222222222224"/>
    <n v="0.25606237816764132"/>
    <n v="0.21014492753623187"/>
    <x v="2"/>
  </r>
  <r>
    <x v="0"/>
    <x v="0"/>
    <x v="3"/>
    <x v="3"/>
    <n v="6"/>
    <x v="3"/>
    <n v="1"/>
    <n v="1"/>
    <n v="2"/>
    <n v="1"/>
    <n v="0"/>
    <n v="0"/>
    <n v="1.1111111111111112E-2"/>
    <n v="1.1111111111111112E-2"/>
    <n v="2.2222222222222223E-2"/>
    <n v="5.7387914230019495E-2"/>
    <n v="1.4492753623188406E-2"/>
    <x v="2"/>
  </r>
  <r>
    <x v="0"/>
    <x v="0"/>
    <x v="4"/>
    <x v="4"/>
    <n v="5"/>
    <x v="4"/>
    <n v="3"/>
    <n v="3"/>
    <n v="6"/>
    <n v="3"/>
    <n v="0"/>
    <n v="0"/>
    <n v="3.3333333333333333E-2"/>
    <n v="3.3333333333333333E-2"/>
    <n v="6.6666666666666666E-2"/>
    <n v="4.0077972709551657E-2"/>
    <n v="4.3478260869565216E-2"/>
    <x v="2"/>
  </r>
  <r>
    <x v="0"/>
    <x v="0"/>
    <x v="5"/>
    <x v="4"/>
    <n v="3"/>
    <x v="5"/>
    <n v="1"/>
    <n v="1"/>
    <n v="2"/>
    <n v="1"/>
    <n v="0"/>
    <n v="0"/>
    <n v="1.1111111111111112E-2"/>
    <n v="1.1111111111111112E-2"/>
    <n v="2.2222222222222223E-2"/>
    <n v="2.8460038986354776E-2"/>
    <n v="1.4492753623188406E-2"/>
    <x v="2"/>
  </r>
  <r>
    <x v="0"/>
    <x v="1"/>
    <x v="6"/>
    <x v="5"/>
    <n v="33"/>
    <x v="6"/>
    <n v="17"/>
    <n v="4"/>
    <n v="21"/>
    <n v="14"/>
    <n v="3"/>
    <n v="3"/>
    <n v="0.18888888888888888"/>
    <n v="4.4444444444444446E-2"/>
    <n v="0.23333333333333334"/>
    <n v="0.44169213447000161"/>
    <n v="0.3888888888888889"/>
    <x v="3"/>
  </r>
  <r>
    <x v="0"/>
    <x v="1"/>
    <x v="7"/>
    <x v="3"/>
    <n v="10"/>
    <x v="7"/>
    <n v="7"/>
    <n v="3"/>
    <n v="10"/>
    <n v="5"/>
    <n v="2"/>
    <n v="2"/>
    <n v="7.7777777777777779E-2"/>
    <n v="3.3333333333333333E-2"/>
    <n v="0.1111111111111111"/>
    <n v="0.20427859096027023"/>
    <n v="0.18518518518518517"/>
    <x v="3"/>
  </r>
  <r>
    <x v="0"/>
    <x v="1"/>
    <x v="8"/>
    <x v="4"/>
    <n v="13"/>
    <x v="8"/>
    <n v="10"/>
    <n v="4"/>
    <n v="14"/>
    <n v="9"/>
    <n v="1"/>
    <n v="2"/>
    <n v="0.1111111111111111"/>
    <n v="4.4444444444444446E-2"/>
    <n v="0.15555555555555556"/>
    <n v="0.18449412900112594"/>
    <n v="0.25925925925925924"/>
    <x v="1"/>
  </r>
  <r>
    <x v="0"/>
    <x v="1"/>
    <x v="9"/>
    <x v="6"/>
    <n v="9"/>
    <x v="9"/>
    <n v="4"/>
    <n v="2"/>
    <n v="6"/>
    <n v="4"/>
    <n v="0"/>
    <n v="0"/>
    <n v="4.4444444444444446E-2"/>
    <n v="2.2222222222222223E-2"/>
    <n v="6.6666666666666666E-2"/>
    <n v="0.14830304005147177"/>
    <n v="0.1111111111111111"/>
    <x v="2"/>
  </r>
  <r>
    <x v="0"/>
    <x v="1"/>
    <x v="10"/>
    <x v="7"/>
    <n v="0"/>
    <x v="10"/>
    <n v="2"/>
    <n v="1"/>
    <n v="3"/>
    <n v="2"/>
    <n v="0"/>
    <n v="0"/>
    <n v="2.2222222222222223E-2"/>
    <n v="1.1111111111111112E-2"/>
    <n v="3.3333333333333333E-2"/>
    <n v="2.1232105517130447E-2"/>
    <n v="5.5555555555555552E-2"/>
    <x v="2"/>
  </r>
  <r>
    <x v="0"/>
    <x v="2"/>
    <x v="11"/>
    <x v="8"/>
    <n v="42"/>
    <x v="11"/>
    <n v="17"/>
    <n v="11"/>
    <n v="28"/>
    <n v="14"/>
    <n v="3"/>
    <n v="4"/>
    <n v="0.18888888888888888"/>
    <n v="0.12222222222222222"/>
    <n v="0.31111111111111112"/>
    <n v="0.32446112226197749"/>
    <n v="0.34146341463414637"/>
    <x v="4"/>
  </r>
  <r>
    <x v="0"/>
    <x v="2"/>
    <x v="12"/>
    <x v="9"/>
    <n v="30"/>
    <x v="12"/>
    <n v="15"/>
    <n v="6"/>
    <n v="21"/>
    <n v="15"/>
    <n v="0"/>
    <n v="0"/>
    <n v="0.16666666666666666"/>
    <n v="6.6666666666666666E-2"/>
    <n v="0.23333333333333334"/>
    <n v="0.24391308142071735"/>
    <n v="0.25609756097560976"/>
    <x v="2"/>
  </r>
  <r>
    <x v="0"/>
    <x v="2"/>
    <x v="13"/>
    <x v="9"/>
    <n v="28"/>
    <x v="13"/>
    <n v="7"/>
    <n v="5"/>
    <n v="12"/>
    <n v="7"/>
    <n v="0"/>
    <n v="0"/>
    <n v="7.7777777777777779E-2"/>
    <n v="5.5555555555555552E-2"/>
    <n v="0.13333333333333333"/>
    <n v="0.21886726590452918"/>
    <n v="0.14634146341463414"/>
    <x v="2"/>
  </r>
  <r>
    <x v="0"/>
    <x v="2"/>
    <x v="14"/>
    <x v="10"/>
    <n v="11"/>
    <x v="14"/>
    <n v="10"/>
    <n v="1"/>
    <n v="11"/>
    <n v="10"/>
    <n v="0"/>
    <n v="0"/>
    <n v="0.1111111111111111"/>
    <n v="1.1111111111111112E-2"/>
    <n v="0.12222222222222222"/>
    <n v="9.3725455973470637E-2"/>
    <n v="0.13414634146341464"/>
    <x v="2"/>
  </r>
  <r>
    <x v="0"/>
    <x v="2"/>
    <x v="7"/>
    <x v="11"/>
    <n v="10"/>
    <x v="15"/>
    <n v="5"/>
    <n v="3"/>
    <n v="8"/>
    <n v="5"/>
    <n v="0"/>
    <n v="0"/>
    <n v="5.5555555555555552E-2"/>
    <n v="3.3333333333333333E-2"/>
    <n v="8.8888888888888892E-2"/>
    <n v="8.1333449690199844E-2"/>
    <n v="9.7560975609756101E-2"/>
    <x v="2"/>
  </r>
  <r>
    <x v="0"/>
    <x v="2"/>
    <x v="15"/>
    <x v="12"/>
    <n v="5"/>
    <x v="16"/>
    <n v="1"/>
    <n v="1"/>
    <n v="2"/>
    <n v="1"/>
    <n v="0"/>
    <n v="0"/>
    <n v="1.1111111111111112E-2"/>
    <n v="1.1111111111111112E-2"/>
    <n v="2.2222222222222223E-2"/>
    <n v="3.7699624749105508E-2"/>
    <n v="2.4390243902439025E-2"/>
    <x v="2"/>
  </r>
  <r>
    <x v="0"/>
    <x v="3"/>
    <x v="16"/>
    <x v="13"/>
    <n v="39"/>
    <x v="17"/>
    <n v="23"/>
    <n v="14"/>
    <n v="37"/>
    <n v="22"/>
    <n v="1"/>
    <n v="1"/>
    <n v="0.25555555555555554"/>
    <n v="0.15555555555555556"/>
    <n v="0.41111111111111109"/>
    <n v="0.22975675850054841"/>
    <n v="0.25342465753424659"/>
    <x v="3"/>
  </r>
  <r>
    <x v="0"/>
    <x v="3"/>
    <x v="17"/>
    <x v="14"/>
    <n v="41"/>
    <x v="18"/>
    <n v="14"/>
    <n v="19"/>
    <n v="33"/>
    <n v="14"/>
    <n v="0"/>
    <n v="0"/>
    <n v="0.15555555555555556"/>
    <n v="0.21111111111111111"/>
    <n v="0.36666666666666664"/>
    <n v="0.23304729337376606"/>
    <n v="0.22602739726027396"/>
    <x v="2"/>
  </r>
  <r>
    <x v="0"/>
    <x v="3"/>
    <x v="18"/>
    <x v="5"/>
    <n v="32"/>
    <x v="19"/>
    <n v="30"/>
    <n v="7"/>
    <n v="37"/>
    <n v="25"/>
    <n v="5"/>
    <n v="6"/>
    <n v="0.33333333333333331"/>
    <n v="7.7777777777777779E-2"/>
    <n v="0.41111111111111109"/>
    <n v="0.18878637331440737"/>
    <n v="0.25342465753424659"/>
    <x v="5"/>
  </r>
  <r>
    <x v="0"/>
    <x v="3"/>
    <x v="19"/>
    <x v="2"/>
    <n v="29"/>
    <x v="20"/>
    <n v="17"/>
    <n v="3"/>
    <n v="20"/>
    <n v="17"/>
    <n v="0"/>
    <n v="2"/>
    <n v="0.18888888888888888"/>
    <n v="3.3333333333333333E-2"/>
    <n v="0.22222222222222221"/>
    <n v="0.1671720756177818"/>
    <n v="0.13698630136986301"/>
    <x v="6"/>
  </r>
  <r>
    <x v="0"/>
    <x v="3"/>
    <x v="20"/>
    <x v="15"/>
    <n v="28"/>
    <x v="21"/>
    <n v="9"/>
    <n v="10"/>
    <n v="19"/>
    <n v="9"/>
    <n v="0"/>
    <n v="0"/>
    <n v="0.1"/>
    <n v="0.1111111111111111"/>
    <n v="0.21111111111111111"/>
    <n v="0.18123749919349635"/>
    <n v="0.13013698630136986"/>
    <x v="2"/>
  </r>
  <r>
    <x v="0"/>
    <x v="4"/>
    <x v="21"/>
    <x v="8"/>
    <n v="45"/>
    <x v="22"/>
    <n v="27"/>
    <n v="9"/>
    <n v="36"/>
    <n v="27"/>
    <n v="0"/>
    <n v="1"/>
    <n v="0.3"/>
    <n v="0.1"/>
    <n v="0.4"/>
    <n v="0.25251084934903906"/>
    <n v="0.31304347826086959"/>
    <x v="6"/>
  </r>
  <r>
    <x v="0"/>
    <x v="4"/>
    <x v="22"/>
    <x v="0"/>
    <n v="26"/>
    <x v="23"/>
    <n v="13"/>
    <n v="8"/>
    <n v="21"/>
    <n v="13"/>
    <n v="0"/>
    <n v="0"/>
    <n v="0.14444444444444443"/>
    <n v="8.8888888888888892E-2"/>
    <n v="0.23333333333333334"/>
    <n v="0.16633601983880966"/>
    <n v="0.18260869565217391"/>
    <x v="2"/>
  </r>
  <r>
    <x v="0"/>
    <x v="4"/>
    <x v="23"/>
    <x v="16"/>
    <n v="33"/>
    <x v="24"/>
    <n v="3"/>
    <n v="7"/>
    <n v="10"/>
    <n v="3"/>
    <n v="0"/>
    <n v="0"/>
    <n v="3.3333333333333333E-2"/>
    <n v="7.7777777777777779E-2"/>
    <n v="0.1111111111111111"/>
    <n v="0.16528208307501549"/>
    <n v="8.6956521739130432E-2"/>
    <x v="2"/>
  </r>
  <r>
    <x v="0"/>
    <x v="4"/>
    <x v="24"/>
    <x v="9"/>
    <n v="30"/>
    <x v="25"/>
    <n v="13"/>
    <n v="6"/>
    <n v="19"/>
    <n v="13"/>
    <n v="0"/>
    <n v="0"/>
    <n v="0.14444444444444443"/>
    <n v="6.6666666666666666E-2"/>
    <n v="0.21111111111111111"/>
    <n v="0.16410415375077494"/>
    <n v="0.16521739130434782"/>
    <x v="2"/>
  </r>
  <r>
    <x v="0"/>
    <x v="4"/>
    <x v="25"/>
    <x v="17"/>
    <n v="26"/>
    <x v="26"/>
    <n v="11"/>
    <n v="9"/>
    <n v="20"/>
    <n v="9"/>
    <n v="2"/>
    <n v="3"/>
    <n v="0.12222222222222222"/>
    <n v="0.1"/>
    <n v="0.22222222222222221"/>
    <n v="0.14500929944203347"/>
    <n v="0.17391304347826086"/>
    <x v="7"/>
  </r>
  <r>
    <x v="0"/>
    <x v="4"/>
    <x v="26"/>
    <x v="11"/>
    <n v="18"/>
    <x v="27"/>
    <n v="3"/>
    <n v="5"/>
    <n v="8"/>
    <n v="3"/>
    <n v="0"/>
    <n v="1"/>
    <n v="3.3333333333333333E-2"/>
    <n v="5.5555555555555552E-2"/>
    <n v="8.8888888888888892E-2"/>
    <n v="9.4978301301921891E-2"/>
    <n v="6.9565217391304349E-2"/>
    <x v="6"/>
  </r>
  <r>
    <x v="0"/>
    <x v="4"/>
    <x v="27"/>
    <x v="18"/>
    <n v="2"/>
    <x v="28"/>
    <n v="1"/>
    <n v="0"/>
    <n v="1"/>
    <n v="1"/>
    <n v="0"/>
    <n v="0"/>
    <n v="1.1111111111111112E-2"/>
    <n v="0"/>
    <n v="1.1111111111111112E-2"/>
    <n v="1.1779293242405457E-2"/>
    <n v="8.6956521739130436E-3"/>
    <x v="2"/>
  </r>
  <r>
    <x v="0"/>
    <x v="5"/>
    <x v="28"/>
    <x v="9"/>
    <n v="45"/>
    <x v="29"/>
    <n v="41"/>
    <n v="4"/>
    <n v="45"/>
    <n v="38"/>
    <n v="3"/>
    <n v="4"/>
    <n v="0.45555555555555555"/>
    <n v="4.4444444444444446E-2"/>
    <n v="0.5"/>
    <n v="0.31469814179759154"/>
    <n v="0.39823008849557523"/>
    <x v="4"/>
  </r>
  <r>
    <x v="0"/>
    <x v="5"/>
    <x v="29"/>
    <x v="1"/>
    <n v="42"/>
    <x v="30"/>
    <n v="14"/>
    <n v="14"/>
    <n v="28"/>
    <n v="14"/>
    <n v="0"/>
    <n v="0"/>
    <n v="0.15555555555555556"/>
    <n v="0.15555555555555556"/>
    <n v="0.31111111111111112"/>
    <n v="0.30090118829252732"/>
    <n v="0.24778761061946902"/>
    <x v="2"/>
  </r>
  <r>
    <x v="0"/>
    <x v="5"/>
    <x v="30"/>
    <x v="15"/>
    <n v="39"/>
    <x v="31"/>
    <n v="18"/>
    <n v="11"/>
    <n v="29"/>
    <n v="18"/>
    <n v="0"/>
    <n v="0"/>
    <n v="0.2"/>
    <n v="0.12222222222222222"/>
    <n v="0.32222222222222224"/>
    <n v="0.26852221070260784"/>
    <n v="0.25663716814159293"/>
    <x v="2"/>
  </r>
  <r>
    <x v="0"/>
    <x v="5"/>
    <x v="31"/>
    <x v="19"/>
    <n v="10"/>
    <x v="32"/>
    <n v="5"/>
    <n v="1"/>
    <n v="6"/>
    <n v="5"/>
    <n v="0"/>
    <n v="0"/>
    <n v="5.5555555555555552E-2"/>
    <n v="1.1111111111111112E-2"/>
    <n v="6.6666666666666666E-2"/>
    <n v="7.9432171624531464E-2"/>
    <n v="5.3097345132743362E-2"/>
    <x v="2"/>
  </r>
  <r>
    <x v="0"/>
    <x v="5"/>
    <x v="32"/>
    <x v="20"/>
    <n v="5"/>
    <x v="33"/>
    <n v="1"/>
    <n v="4"/>
    <n v="5"/>
    <n v="1"/>
    <n v="0"/>
    <n v="0"/>
    <n v="1.1111111111111112E-2"/>
    <n v="4.4444444444444446E-2"/>
    <n v="5.5555555555555552E-2"/>
    <n v="3.6446287582741849E-2"/>
    <n v="4.4247787610619468E-2"/>
    <x v="2"/>
  </r>
  <r>
    <x v="1"/>
    <x v="0"/>
    <x v="1"/>
    <x v="0"/>
    <n v="49"/>
    <x v="34"/>
    <n v="27"/>
    <n v="10"/>
    <n v="37"/>
    <n v="22"/>
    <n v="5"/>
    <n v="5"/>
    <n v="0.3"/>
    <n v="0.1111111111111111"/>
    <n v="0.41111111111111109"/>
    <n v="0.32471135102714049"/>
    <n v="0.36274509803921567"/>
    <x v="3"/>
  </r>
  <r>
    <x v="1"/>
    <x v="0"/>
    <x v="33"/>
    <x v="21"/>
    <n v="7"/>
    <x v="35"/>
    <n v="7"/>
    <n v="1"/>
    <n v="8"/>
    <n v="7"/>
    <n v="0"/>
    <n v="0"/>
    <n v="7.7777777777777779E-2"/>
    <n v="1.1111111111111112E-2"/>
    <n v="8.8888888888888892E-2"/>
    <n v="5.1132103763682712E-2"/>
    <n v="7.8431372549019607E-2"/>
    <x v="2"/>
  </r>
  <r>
    <x v="1"/>
    <x v="0"/>
    <x v="2"/>
    <x v="1"/>
    <n v="49"/>
    <x v="36"/>
    <n v="26"/>
    <n v="2"/>
    <n v="28"/>
    <n v="26"/>
    <n v="0"/>
    <n v="1"/>
    <n v="0.28888888888888886"/>
    <n v="2.2222222222222223E-2"/>
    <n v="0.31111111111111112"/>
    <n v="0.32201229569650625"/>
    <n v="0.27450980392156865"/>
    <x v="6"/>
  </r>
  <r>
    <x v="1"/>
    <x v="0"/>
    <x v="0"/>
    <x v="22"/>
    <n v="39"/>
    <x v="37"/>
    <n v="16"/>
    <n v="7"/>
    <n v="23"/>
    <n v="15"/>
    <n v="1"/>
    <n v="1"/>
    <n v="0.17777777777777778"/>
    <n v="7.7777777777777779E-2"/>
    <n v="0.25555555555555554"/>
    <n v="0.25101214574898784"/>
    <n v="0.22549019607843138"/>
    <x v="3"/>
  </r>
  <r>
    <x v="1"/>
    <x v="0"/>
    <x v="4"/>
    <x v="21"/>
    <n v="7"/>
    <x v="35"/>
    <n v="4"/>
    <n v="2"/>
    <n v="6"/>
    <n v="4"/>
    <n v="0"/>
    <n v="0"/>
    <n v="4.4444444444444446E-2"/>
    <n v="2.2222222222222223E-2"/>
    <n v="6.6666666666666666E-2"/>
    <n v="5.1132103763682712E-2"/>
    <n v="5.8823529411764705E-2"/>
    <x v="2"/>
  </r>
  <r>
    <x v="1"/>
    <x v="1"/>
    <x v="8"/>
    <x v="8"/>
    <n v="42"/>
    <x v="38"/>
    <n v="31"/>
    <n v="7"/>
    <n v="38"/>
    <n v="27"/>
    <n v="4"/>
    <n v="5"/>
    <n v="0.34444444444444444"/>
    <n v="7.7777777777777779E-2"/>
    <n v="0.42222222222222222"/>
    <n v="0.29917714640583759"/>
    <n v="0.39583333333333331"/>
    <x v="8"/>
  </r>
  <r>
    <x v="1"/>
    <x v="1"/>
    <x v="6"/>
    <x v="14"/>
    <n v="36"/>
    <x v="39"/>
    <n v="19"/>
    <n v="11"/>
    <n v="30"/>
    <n v="19"/>
    <n v="0"/>
    <n v="0"/>
    <n v="0.21111111111111111"/>
    <n v="0.12222222222222222"/>
    <n v="0.33333333333333331"/>
    <n v="0.25826734979040522"/>
    <n v="0.3125"/>
    <x v="2"/>
  </r>
  <r>
    <x v="1"/>
    <x v="1"/>
    <x v="34"/>
    <x v="8"/>
    <n v="32"/>
    <x v="40"/>
    <n v="6"/>
    <n v="8"/>
    <n v="14"/>
    <n v="6"/>
    <n v="0"/>
    <n v="0"/>
    <n v="6.6666666666666666E-2"/>
    <n v="8.8888888888888892E-2"/>
    <n v="0.15555555555555556"/>
    <n v="0.22046266107747245"/>
    <n v="0.14583333333333334"/>
    <x v="2"/>
  </r>
  <r>
    <x v="1"/>
    <x v="1"/>
    <x v="35"/>
    <x v="5"/>
    <n v="28"/>
    <x v="41"/>
    <n v="6"/>
    <n v="7"/>
    <n v="13"/>
    <n v="6"/>
    <n v="0"/>
    <n v="0"/>
    <n v="6.6666666666666666E-2"/>
    <n v="7.7777777777777779E-2"/>
    <n v="0.14444444444444443"/>
    <n v="0.19600993634528799"/>
    <n v="0.13541666666666666"/>
    <x v="2"/>
  </r>
  <r>
    <x v="1"/>
    <x v="1"/>
    <x v="10"/>
    <x v="23"/>
    <n v="3"/>
    <x v="42"/>
    <n v="1"/>
    <n v="0"/>
    <n v="1"/>
    <n v="1"/>
    <n v="0"/>
    <n v="0"/>
    <n v="1.1111111111111112E-2"/>
    <n v="0"/>
    <n v="1.1111111111111112E-2"/>
    <n v="2.6082906380996741E-2"/>
    <n v="1.0416666666666666E-2"/>
    <x v="2"/>
  </r>
  <r>
    <x v="1"/>
    <x v="2"/>
    <x v="11"/>
    <x v="0"/>
    <n v="40"/>
    <x v="43"/>
    <n v="21"/>
    <n v="17"/>
    <n v="38"/>
    <n v="16"/>
    <n v="5"/>
    <n v="5"/>
    <n v="0.23333333333333334"/>
    <n v="0.18888888888888888"/>
    <n v="0.42222222222222222"/>
    <n v="0.23376390383925369"/>
    <n v="0.30894308943089432"/>
    <x v="3"/>
  </r>
  <r>
    <x v="1"/>
    <x v="2"/>
    <x v="36"/>
    <x v="24"/>
    <n v="43"/>
    <x v="44"/>
    <n v="8"/>
    <n v="12"/>
    <n v="20"/>
    <n v="7"/>
    <n v="1"/>
    <n v="1"/>
    <n v="8.8888888888888892E-2"/>
    <n v="0.13333333333333333"/>
    <n v="0.22222222222222221"/>
    <n v="0.21211577562492526"/>
    <n v="0.16260162601626016"/>
    <x v="3"/>
  </r>
  <r>
    <x v="1"/>
    <x v="2"/>
    <x v="13"/>
    <x v="0"/>
    <n v="36"/>
    <x v="45"/>
    <n v="13"/>
    <n v="5"/>
    <n v="18"/>
    <n v="13"/>
    <n v="0"/>
    <n v="0"/>
    <n v="0.14444444444444443"/>
    <n v="5.5555555555555552E-2"/>
    <n v="0.2"/>
    <n v="0.18484631024997009"/>
    <n v="0.14634146341463414"/>
    <x v="2"/>
  </r>
  <r>
    <x v="1"/>
    <x v="2"/>
    <x v="7"/>
    <x v="17"/>
    <n v="21"/>
    <x v="46"/>
    <n v="13"/>
    <n v="10"/>
    <n v="23"/>
    <n v="13"/>
    <n v="0"/>
    <n v="0"/>
    <n v="0.14444444444444443"/>
    <n v="0.1111111111111111"/>
    <n v="0.25555555555555554"/>
    <n v="0.1318024159789499"/>
    <n v="0.18699186991869918"/>
    <x v="2"/>
  </r>
  <r>
    <x v="1"/>
    <x v="2"/>
    <x v="12"/>
    <x v="25"/>
    <n v="18"/>
    <x v="47"/>
    <n v="9"/>
    <n v="0"/>
    <n v="9"/>
    <n v="9"/>
    <n v="0"/>
    <n v="0"/>
    <n v="0.1"/>
    <n v="0"/>
    <n v="0.1"/>
    <n v="8.922377706016027E-2"/>
    <n v="7.3170731707317069E-2"/>
    <x v="2"/>
  </r>
  <r>
    <x v="1"/>
    <x v="2"/>
    <x v="37"/>
    <x v="11"/>
    <n v="15"/>
    <x v="48"/>
    <n v="5"/>
    <n v="0"/>
    <n v="5"/>
    <n v="5"/>
    <n v="0"/>
    <n v="0"/>
    <n v="5.5555555555555552E-2"/>
    <n v="0"/>
    <n v="5.5555555555555552E-2"/>
    <n v="7.8160507116373637E-2"/>
    <n v="4.065040650406504E-2"/>
    <x v="2"/>
  </r>
  <r>
    <x v="1"/>
    <x v="2"/>
    <x v="38"/>
    <x v="25"/>
    <n v="12"/>
    <x v="49"/>
    <n v="5"/>
    <n v="5"/>
    <n v="10"/>
    <n v="5"/>
    <n v="0"/>
    <n v="0"/>
    <n v="5.5555555555555552E-2"/>
    <n v="5.5555555555555552E-2"/>
    <n v="0.1111111111111111"/>
    <n v="7.0087310130367175E-2"/>
    <n v="8.1300813008130079E-2"/>
    <x v="2"/>
  </r>
  <r>
    <x v="1"/>
    <x v="3"/>
    <x v="16"/>
    <x v="8"/>
    <n v="45"/>
    <x v="50"/>
    <n v="25"/>
    <n v="14"/>
    <n v="39"/>
    <n v="25"/>
    <n v="0"/>
    <n v="0"/>
    <n v="0.27777777777777779"/>
    <n v="0.15555555555555556"/>
    <n v="0.43333333333333335"/>
    <n v="0.21366723699901488"/>
    <n v="0.20103092783505155"/>
    <x v="2"/>
  </r>
  <r>
    <x v="1"/>
    <x v="3"/>
    <x v="20"/>
    <x v="8"/>
    <n v="43"/>
    <x v="51"/>
    <n v="13"/>
    <n v="13"/>
    <n v="26"/>
    <n v="13"/>
    <n v="0"/>
    <n v="0"/>
    <n v="0.14444444444444443"/>
    <n v="0.14444444444444443"/>
    <n v="0.28888888888888886"/>
    <n v="0.20884533623684348"/>
    <n v="0.13402061855670103"/>
    <x v="2"/>
  </r>
  <r>
    <x v="1"/>
    <x v="3"/>
    <x v="18"/>
    <x v="13"/>
    <n v="41"/>
    <x v="52"/>
    <n v="32"/>
    <n v="10"/>
    <n v="42"/>
    <n v="28"/>
    <n v="4"/>
    <n v="6"/>
    <n v="0.35555555555555557"/>
    <n v="0.1111111111111111"/>
    <n v="0.46666666666666667"/>
    <n v="0.17343288225229428"/>
    <n v="0.21649484536082475"/>
    <x v="7"/>
  </r>
  <r>
    <x v="1"/>
    <x v="3"/>
    <x v="17"/>
    <x v="22"/>
    <n v="30"/>
    <x v="53"/>
    <n v="16"/>
    <n v="17"/>
    <n v="33"/>
    <n v="16"/>
    <n v="0"/>
    <n v="0"/>
    <n v="0.17777777777777778"/>
    <n v="0.18888888888888888"/>
    <n v="0.36666666666666664"/>
    <n v="0.13988697049826307"/>
    <n v="0.17010309278350516"/>
    <x v="2"/>
  </r>
  <r>
    <x v="1"/>
    <x v="3"/>
    <x v="39"/>
    <x v="26"/>
    <n v="28"/>
    <x v="54"/>
    <n v="12"/>
    <n v="12"/>
    <n v="24"/>
    <n v="12"/>
    <n v="0"/>
    <n v="1"/>
    <n v="0.13333333333333333"/>
    <n v="0.13333333333333333"/>
    <n v="0.26666666666666666"/>
    <n v="0.13392440503966402"/>
    <n v="0.12371134020618557"/>
    <x v="6"/>
  </r>
  <r>
    <x v="1"/>
    <x v="3"/>
    <x v="19"/>
    <x v="22"/>
    <n v="21"/>
    <x v="55"/>
    <n v="21"/>
    <n v="7"/>
    <n v="28"/>
    <n v="18"/>
    <n v="3"/>
    <n v="3"/>
    <n v="0.23333333333333334"/>
    <n v="7.7777777777777779E-2"/>
    <n v="0.31111111111111112"/>
    <n v="0.11930315756727329"/>
    <n v="0.14432989690721648"/>
    <x v="3"/>
  </r>
  <r>
    <x v="1"/>
    <x v="3"/>
    <x v="40"/>
    <x v="27"/>
    <n v="3"/>
    <x v="56"/>
    <n v="2"/>
    <n v="0"/>
    <n v="2"/>
    <n v="2"/>
    <n v="0"/>
    <n v="0"/>
    <n v="2.2222222222222223E-2"/>
    <n v="0"/>
    <n v="2.2222222222222223E-2"/>
    <n v="1.0940011406646964E-2"/>
    <n v="1.0309278350515464E-2"/>
    <x v="2"/>
  </r>
  <r>
    <x v="1"/>
    <x v="4"/>
    <x v="22"/>
    <x v="22"/>
    <n v="36"/>
    <x v="57"/>
    <n v="13"/>
    <n v="8"/>
    <n v="21"/>
    <n v="12"/>
    <n v="1"/>
    <n v="1"/>
    <n v="0.14444444444444443"/>
    <n v="8.8888888888888892E-2"/>
    <n v="0.23333333333333334"/>
    <n v="0.27852292020373515"/>
    <n v="0.33333333333333331"/>
    <x v="3"/>
  </r>
  <r>
    <x v="1"/>
    <x v="4"/>
    <x v="21"/>
    <x v="17"/>
    <n v="32"/>
    <x v="58"/>
    <n v="15"/>
    <n v="3"/>
    <n v="18"/>
    <n v="15"/>
    <n v="0"/>
    <n v="0"/>
    <n v="0.16666666666666666"/>
    <n v="3.3333333333333333E-2"/>
    <n v="0.2"/>
    <n v="0.25772495755517827"/>
    <n v="0.2857142857142857"/>
    <x v="2"/>
  </r>
  <r>
    <x v="1"/>
    <x v="4"/>
    <x v="25"/>
    <x v="28"/>
    <n v="26"/>
    <x v="59"/>
    <n v="12"/>
    <n v="2"/>
    <n v="14"/>
    <n v="11"/>
    <n v="1"/>
    <n v="1"/>
    <n v="0.13333333333333333"/>
    <n v="2.2222222222222223E-2"/>
    <n v="0.15555555555555556"/>
    <n v="0.20008488964346349"/>
    <n v="0.22222222222222221"/>
    <x v="3"/>
  </r>
  <r>
    <x v="1"/>
    <x v="4"/>
    <x v="24"/>
    <x v="29"/>
    <n v="26"/>
    <x v="60"/>
    <n v="5"/>
    <n v="3"/>
    <n v="8"/>
    <n v="4"/>
    <n v="1"/>
    <n v="1"/>
    <n v="5.5555555555555552E-2"/>
    <n v="3.3333333333333333E-2"/>
    <n v="8.8888888888888892E-2"/>
    <n v="0.18599320882852291"/>
    <n v="0.12698412698412698"/>
    <x v="3"/>
  </r>
  <r>
    <x v="1"/>
    <x v="4"/>
    <x v="41"/>
    <x v="30"/>
    <n v="9"/>
    <x v="61"/>
    <n v="1"/>
    <n v="1"/>
    <n v="2"/>
    <n v="1"/>
    <n v="0"/>
    <n v="0"/>
    <n v="1.1111111111111112E-2"/>
    <n v="1.1111111111111112E-2"/>
    <n v="2.2222222222222223E-2"/>
    <n v="7.7674023769100167E-2"/>
    <n v="3.1746031746031744E-2"/>
    <x v="2"/>
  </r>
  <r>
    <x v="1"/>
    <x v="5"/>
    <x v="28"/>
    <x v="16"/>
    <n v="37"/>
    <x v="62"/>
    <n v="24"/>
    <n v="6"/>
    <n v="30"/>
    <n v="19"/>
    <n v="5"/>
    <n v="5"/>
    <n v="0.26666666666666666"/>
    <n v="6.6666666666666666E-2"/>
    <n v="0.33333333333333331"/>
    <n v="0.26186181475962672"/>
    <n v="0.30612244897959184"/>
    <x v="3"/>
  </r>
  <r>
    <x v="1"/>
    <x v="5"/>
    <x v="30"/>
    <x v="9"/>
    <n v="38"/>
    <x v="63"/>
    <n v="20"/>
    <n v="9"/>
    <n v="29"/>
    <n v="20"/>
    <n v="0"/>
    <n v="0"/>
    <n v="0.22222222222222221"/>
    <n v="0.1"/>
    <n v="0.32222222222222224"/>
    <n v="0.25927378244843541"/>
    <n v="0.29591836734693877"/>
    <x v="2"/>
  </r>
  <r>
    <x v="1"/>
    <x v="5"/>
    <x v="32"/>
    <x v="14"/>
    <n v="37"/>
    <x v="64"/>
    <n v="15"/>
    <n v="1"/>
    <n v="16"/>
    <n v="15"/>
    <n v="0"/>
    <n v="0"/>
    <n v="0.16666666666666666"/>
    <n v="1.1111111111111112E-2"/>
    <n v="0.17777777777777778"/>
    <n v="0.25049015763469534"/>
    <n v="0.16326530612244897"/>
    <x v="2"/>
  </r>
  <r>
    <x v="1"/>
    <x v="5"/>
    <x v="42"/>
    <x v="31"/>
    <n v="14"/>
    <x v="65"/>
    <n v="6"/>
    <n v="4"/>
    <n v="10"/>
    <n v="6"/>
    <n v="0"/>
    <n v="0"/>
    <n v="6.6666666666666666E-2"/>
    <n v="4.4444444444444446E-2"/>
    <n v="0.1111111111111111"/>
    <n v="0.12689200846992393"/>
    <n v="0.10204081632653061"/>
    <x v="2"/>
  </r>
  <r>
    <x v="1"/>
    <x v="5"/>
    <x v="31"/>
    <x v="32"/>
    <n v="11"/>
    <x v="66"/>
    <n v="8"/>
    <n v="5"/>
    <n v="13"/>
    <n v="8"/>
    <n v="0"/>
    <n v="0"/>
    <n v="8.8888888888888892E-2"/>
    <n v="5.5555555555555552E-2"/>
    <n v="0.14444444444444443"/>
    <n v="0.10148223668731864"/>
    <n v="0.1326530612244898"/>
    <x v="2"/>
  </r>
  <r>
    <x v="2"/>
    <x v="0"/>
    <x v="1"/>
    <x v="13"/>
    <n v="43"/>
    <x v="67"/>
    <n v="23"/>
    <n v="12"/>
    <n v="35"/>
    <n v="20"/>
    <n v="3"/>
    <n v="3"/>
    <n v="0.25555555555555554"/>
    <n v="0.13333333333333333"/>
    <n v="0.3888888888888889"/>
    <n v="0.27129934787181825"/>
    <n v="0.33653846153846156"/>
    <x v="3"/>
  </r>
  <r>
    <x v="2"/>
    <x v="0"/>
    <x v="0"/>
    <x v="1"/>
    <n v="42"/>
    <x v="68"/>
    <n v="10"/>
    <n v="12"/>
    <n v="22"/>
    <n v="10"/>
    <n v="0"/>
    <n v="0"/>
    <n v="0.1111111111111111"/>
    <n v="0.13333333333333333"/>
    <n v="0.24444444444444444"/>
    <n v="0.26611037094172918"/>
    <n v="0.21153846153846154"/>
    <x v="2"/>
  </r>
  <r>
    <x v="2"/>
    <x v="0"/>
    <x v="2"/>
    <x v="17"/>
    <n v="40"/>
    <x v="69"/>
    <n v="22"/>
    <n v="9"/>
    <n v="31"/>
    <n v="22"/>
    <n v="0"/>
    <n v="0"/>
    <n v="0.24444444444444444"/>
    <n v="0.1"/>
    <n v="0.34444444444444444"/>
    <n v="0.25033307622186385"/>
    <n v="0.29807692307692307"/>
    <x v="2"/>
  </r>
  <r>
    <x v="2"/>
    <x v="0"/>
    <x v="33"/>
    <x v="16"/>
    <n v="13"/>
    <x v="70"/>
    <n v="6"/>
    <n v="2"/>
    <n v="8"/>
    <n v="6"/>
    <n v="0"/>
    <n v="0"/>
    <n v="6.6666666666666666E-2"/>
    <n v="2.2222222222222223E-2"/>
    <n v="8.8888888888888892E-2"/>
    <n v="9.6206437136245701E-2"/>
    <n v="7.6923076923076927E-2"/>
    <x v="2"/>
  </r>
  <r>
    <x v="2"/>
    <x v="0"/>
    <x v="43"/>
    <x v="33"/>
    <n v="7"/>
    <x v="71"/>
    <n v="1"/>
    <n v="2"/>
    <n v="3"/>
    <n v="1"/>
    <n v="0"/>
    <n v="0"/>
    <n v="1.1111111111111112E-2"/>
    <n v="2.2222222222222223E-2"/>
    <n v="3.3333333333333333E-2"/>
    <n v="5.6307411822452844E-2"/>
    <n v="2.8846153846153848E-2"/>
    <x v="2"/>
  </r>
  <r>
    <x v="2"/>
    <x v="0"/>
    <x v="44"/>
    <x v="34"/>
    <n v="6"/>
    <x v="72"/>
    <n v="3"/>
    <n v="1"/>
    <n v="4"/>
    <n v="3"/>
    <n v="0"/>
    <n v="0"/>
    <n v="3.3333333333333333E-2"/>
    <n v="1.1111111111111112E-2"/>
    <n v="4.4444444444444446E-2"/>
    <n v="4.3545333426828411E-2"/>
    <n v="3.8461538461538464E-2"/>
    <x v="2"/>
  </r>
  <r>
    <x v="2"/>
    <x v="0"/>
    <x v="45"/>
    <x v="23"/>
    <n v="2"/>
    <x v="73"/>
    <n v="1"/>
    <n v="0"/>
    <n v="1"/>
    <n v="1"/>
    <n v="0"/>
    <n v="0"/>
    <n v="1.1111111111111112E-2"/>
    <n v="0"/>
    <n v="1.1111111111111112E-2"/>
    <n v="1.6198022579061777E-2"/>
    <n v="9.6153846153846159E-3"/>
    <x v="2"/>
  </r>
  <r>
    <x v="2"/>
    <x v="1"/>
    <x v="8"/>
    <x v="26"/>
    <n v="41"/>
    <x v="74"/>
    <n v="29"/>
    <n v="3"/>
    <n v="32"/>
    <n v="26"/>
    <n v="3"/>
    <n v="3"/>
    <n v="0.32222222222222224"/>
    <n v="3.3333333333333333E-2"/>
    <n v="0.35555555555555557"/>
    <n v="0.34162003485918724"/>
    <n v="0.42105263157894735"/>
    <x v="3"/>
  </r>
  <r>
    <x v="2"/>
    <x v="1"/>
    <x v="46"/>
    <x v="2"/>
    <n v="29"/>
    <x v="75"/>
    <n v="8"/>
    <n v="10"/>
    <n v="18"/>
    <n v="6"/>
    <n v="2"/>
    <n v="2"/>
    <n v="8.8888888888888892E-2"/>
    <n v="0.1111111111111111"/>
    <n v="0.2"/>
    <n v="0.24905971929180809"/>
    <n v="0.23684210526315788"/>
    <x v="3"/>
  </r>
  <r>
    <x v="2"/>
    <x v="1"/>
    <x v="6"/>
    <x v="5"/>
    <n v="30"/>
    <x v="76"/>
    <n v="12"/>
    <n v="4"/>
    <n v="16"/>
    <n v="12"/>
    <n v="0"/>
    <n v="0"/>
    <n v="0.13333333333333333"/>
    <n v="4.4444444444444446E-2"/>
    <n v="0.17777777777777778"/>
    <n v="0.23594165672874048"/>
    <n v="0.21052631578947367"/>
    <x v="2"/>
  </r>
  <r>
    <x v="2"/>
    <x v="1"/>
    <x v="47"/>
    <x v="30"/>
    <n v="12"/>
    <x v="77"/>
    <n v="3"/>
    <n v="3"/>
    <n v="6"/>
    <n v="3"/>
    <n v="0"/>
    <n v="0"/>
    <n v="3.3333333333333333E-2"/>
    <n v="3.3333333333333333E-2"/>
    <n v="6.6666666666666666E-2"/>
    <n v="9.5771030180717365E-2"/>
    <n v="7.8947368421052627E-2"/>
    <x v="2"/>
  </r>
  <r>
    <x v="2"/>
    <x v="1"/>
    <x v="10"/>
    <x v="35"/>
    <n v="9"/>
    <x v="78"/>
    <n v="4"/>
    <n v="0"/>
    <n v="4"/>
    <n v="4"/>
    <n v="0"/>
    <n v="0"/>
    <n v="4.4444444444444446E-2"/>
    <n v="0"/>
    <n v="4.4444444444444446E-2"/>
    <n v="7.7607558939546836E-2"/>
    <n v="5.2631578947368418E-2"/>
    <x v="2"/>
  </r>
  <r>
    <x v="2"/>
    <x v="2"/>
    <x v="36"/>
    <x v="22"/>
    <n v="38"/>
    <x v="79"/>
    <n v="11"/>
    <n v="9"/>
    <n v="20"/>
    <n v="7"/>
    <n v="4"/>
    <n v="4"/>
    <n v="0.12222222222222222"/>
    <n v="0.1"/>
    <n v="0.22222222222222221"/>
    <n v="0.24888790035587188"/>
    <n v="0.21505376344086022"/>
    <x v="3"/>
  </r>
  <r>
    <x v="2"/>
    <x v="2"/>
    <x v="48"/>
    <x v="22"/>
    <n v="33"/>
    <x v="80"/>
    <n v="18"/>
    <n v="4"/>
    <n v="22"/>
    <n v="18"/>
    <n v="0"/>
    <n v="0"/>
    <n v="0.2"/>
    <n v="4.4444444444444446E-2"/>
    <n v="0.24444444444444444"/>
    <n v="0.21908362989323843"/>
    <n v="0.23655913978494625"/>
    <x v="2"/>
  </r>
  <r>
    <x v="2"/>
    <x v="2"/>
    <x v="49"/>
    <x v="36"/>
    <n v="27"/>
    <x v="26"/>
    <n v="11"/>
    <n v="7"/>
    <n v="18"/>
    <n v="11"/>
    <n v="0"/>
    <n v="0"/>
    <n v="0.12222222222222222"/>
    <n v="7.7777777777777779E-2"/>
    <n v="0.2"/>
    <n v="0.17341340450771056"/>
    <n v="0.19354838709677419"/>
    <x v="2"/>
  </r>
  <r>
    <x v="2"/>
    <x v="2"/>
    <x v="38"/>
    <x v="31"/>
    <n v="13"/>
    <x v="81"/>
    <n v="3"/>
    <n v="6"/>
    <n v="9"/>
    <n v="3"/>
    <n v="0"/>
    <n v="0"/>
    <n v="3.3333333333333333E-2"/>
    <n v="6.6666666666666666E-2"/>
    <n v="0.1"/>
    <n v="0.11024614472123369"/>
    <n v="9.6774193548387094E-2"/>
    <x v="2"/>
  </r>
  <r>
    <x v="2"/>
    <x v="2"/>
    <x v="7"/>
    <x v="10"/>
    <n v="17"/>
    <x v="82"/>
    <n v="10"/>
    <n v="1"/>
    <n v="11"/>
    <n v="10"/>
    <n v="0"/>
    <n v="0"/>
    <n v="0.1111111111111111"/>
    <n v="1.1111111111111112E-2"/>
    <n v="0.12222222222222222"/>
    <n v="0.10372182680901543"/>
    <n v="0.11827956989247312"/>
    <x v="2"/>
  </r>
  <r>
    <x v="2"/>
    <x v="2"/>
    <x v="13"/>
    <x v="37"/>
    <n v="13"/>
    <x v="83"/>
    <n v="2"/>
    <n v="3"/>
    <n v="5"/>
    <n v="1"/>
    <n v="1"/>
    <n v="1"/>
    <n v="2.2222222222222223E-2"/>
    <n v="3.3333333333333333E-2"/>
    <n v="5.5555555555555552E-2"/>
    <n v="9.4676749703440088E-2"/>
    <n v="5.3763440860215055E-2"/>
    <x v="3"/>
  </r>
  <r>
    <x v="2"/>
    <x v="2"/>
    <x v="14"/>
    <x v="25"/>
    <n v="5"/>
    <x v="84"/>
    <n v="6"/>
    <n v="2"/>
    <n v="8"/>
    <n v="6"/>
    <n v="0"/>
    <n v="0"/>
    <n v="6.6666666666666666E-2"/>
    <n v="2.2222222222222223E-2"/>
    <n v="8.8888888888888892E-2"/>
    <n v="4.9970344009489916E-2"/>
    <n v="8.6021505376344093E-2"/>
    <x v="2"/>
  </r>
  <r>
    <x v="2"/>
    <x v="3"/>
    <x v="16"/>
    <x v="0"/>
    <n v="44"/>
    <x v="85"/>
    <n v="31"/>
    <n v="5"/>
    <n v="36"/>
    <n v="31"/>
    <n v="0"/>
    <n v="2"/>
    <n v="0.34444444444444444"/>
    <n v="5.5555555555555552E-2"/>
    <n v="0.4"/>
    <n v="0.22701295761896678"/>
    <n v="0.22929936305732485"/>
    <x v="6"/>
  </r>
  <r>
    <x v="2"/>
    <x v="3"/>
    <x v="20"/>
    <x v="0"/>
    <n v="37"/>
    <x v="86"/>
    <n v="8"/>
    <n v="10"/>
    <n v="18"/>
    <n v="8"/>
    <n v="0"/>
    <n v="0"/>
    <n v="8.8888888888888892E-2"/>
    <n v="0.1111111111111111"/>
    <n v="0.2"/>
    <n v="0.18853618514117582"/>
    <n v="0.11464968152866242"/>
    <x v="2"/>
  </r>
  <r>
    <x v="2"/>
    <x v="3"/>
    <x v="19"/>
    <x v="15"/>
    <n v="34"/>
    <x v="87"/>
    <n v="23"/>
    <n v="11"/>
    <n v="34"/>
    <n v="23"/>
    <n v="0"/>
    <n v="0"/>
    <n v="0.25555555555555554"/>
    <n v="0.12222222222222222"/>
    <n v="0.37777777777777777"/>
    <n v="0.18734793187347931"/>
    <n v="0.21656050955414013"/>
    <x v="2"/>
  </r>
  <r>
    <x v="2"/>
    <x v="3"/>
    <x v="39"/>
    <x v="1"/>
    <n v="35"/>
    <x v="88"/>
    <n v="13"/>
    <n v="13"/>
    <n v="26"/>
    <n v="12"/>
    <n v="1"/>
    <n v="1"/>
    <n v="0.14444444444444443"/>
    <n v="0.14444444444444443"/>
    <n v="0.28888888888888886"/>
    <n v="0.17823799015447292"/>
    <n v="0.16560509554140126"/>
    <x v="3"/>
  </r>
  <r>
    <x v="2"/>
    <x v="3"/>
    <x v="18"/>
    <x v="38"/>
    <n v="35"/>
    <x v="89"/>
    <n v="23"/>
    <n v="3"/>
    <n v="26"/>
    <n v="20"/>
    <n v="3"/>
    <n v="4"/>
    <n v="0.25555555555555554"/>
    <n v="3.3333333333333333E-2"/>
    <n v="0.28888888888888886"/>
    <n v="0.1179765744355797"/>
    <n v="0.16560509554140126"/>
    <x v="4"/>
  </r>
  <r>
    <x v="2"/>
    <x v="3"/>
    <x v="50"/>
    <x v="28"/>
    <n v="18"/>
    <x v="90"/>
    <n v="8"/>
    <n v="9"/>
    <n v="17"/>
    <n v="8"/>
    <n v="0"/>
    <n v="0"/>
    <n v="8.8888888888888892E-2"/>
    <n v="0.1"/>
    <n v="0.18888888888888888"/>
    <n v="0.10088836077632547"/>
    <n v="0.10828025477707007"/>
    <x v="2"/>
  </r>
  <r>
    <x v="2"/>
    <x v="4"/>
    <x v="25"/>
    <x v="9"/>
    <n v="41"/>
    <x v="91"/>
    <n v="23"/>
    <n v="9"/>
    <n v="32"/>
    <n v="22"/>
    <n v="1"/>
    <n v="2"/>
    <n v="0.25555555555555554"/>
    <n v="0.1"/>
    <n v="0.35555555555555557"/>
    <n v="0.26742960397530491"/>
    <n v="0.32323232323232326"/>
    <x v="1"/>
  </r>
  <r>
    <x v="2"/>
    <x v="4"/>
    <x v="22"/>
    <x v="26"/>
    <n v="39"/>
    <x v="92"/>
    <n v="22"/>
    <n v="9"/>
    <n v="31"/>
    <n v="15"/>
    <n v="7"/>
    <n v="9"/>
    <n v="0.24444444444444444"/>
    <n v="0.1"/>
    <n v="0.34444444444444444"/>
    <n v="0.26042764643878935"/>
    <n v="0.31313131313131315"/>
    <x v="9"/>
  </r>
  <r>
    <x v="2"/>
    <x v="4"/>
    <x v="51"/>
    <x v="13"/>
    <n v="35"/>
    <x v="93"/>
    <n v="4"/>
    <n v="6"/>
    <n v="10"/>
    <n v="4"/>
    <n v="0"/>
    <n v="0"/>
    <n v="4.4444444444444446E-2"/>
    <n v="6.6666666666666666E-2"/>
    <n v="0.1111111111111111"/>
    <n v="0.22797771419966872"/>
    <n v="0.10101010101010101"/>
    <x v="2"/>
  </r>
  <r>
    <x v="2"/>
    <x v="4"/>
    <x v="52"/>
    <x v="14"/>
    <n v="26"/>
    <x v="94"/>
    <n v="17"/>
    <n v="3"/>
    <n v="20"/>
    <n v="16"/>
    <n v="1"/>
    <n v="1"/>
    <n v="0.18888888888888888"/>
    <n v="3.3333333333333333E-2"/>
    <n v="0.22222222222222221"/>
    <n v="0.19808763740400542"/>
    <n v="0.20202020202020202"/>
    <x v="3"/>
  </r>
  <r>
    <x v="2"/>
    <x v="4"/>
    <x v="53"/>
    <x v="39"/>
    <n v="5"/>
    <x v="95"/>
    <n v="5"/>
    <n v="1"/>
    <n v="6"/>
    <n v="5"/>
    <n v="0"/>
    <n v="0"/>
    <n v="5.5555555555555552E-2"/>
    <n v="1.1111111111111112E-2"/>
    <n v="6.6666666666666666E-2"/>
    <n v="4.6077397982231594E-2"/>
    <n v="6.0606060606060608E-2"/>
    <x v="2"/>
  </r>
  <r>
    <x v="2"/>
    <x v="5"/>
    <x v="30"/>
    <x v="40"/>
    <n v="35"/>
    <x v="96"/>
    <n v="18"/>
    <n v="12"/>
    <n v="30"/>
    <n v="17"/>
    <n v="1"/>
    <n v="2"/>
    <n v="0.2"/>
    <n v="0.13333333333333333"/>
    <n v="0.33333333333333331"/>
    <n v="0.26231122783978988"/>
    <n v="0.21686746987951808"/>
    <x v="1"/>
  </r>
  <r>
    <x v="2"/>
    <x v="5"/>
    <x v="32"/>
    <x v="22"/>
    <n v="36"/>
    <x v="97"/>
    <n v="7"/>
    <n v="5"/>
    <n v="12"/>
    <n v="7"/>
    <n v="0"/>
    <n v="0"/>
    <n v="7.7777777777777779E-2"/>
    <n v="5.5555555555555552E-2"/>
    <n v="0.13333333333333333"/>
    <n v="0.25935653315824031"/>
    <n v="8.4337349397590355E-2"/>
    <x v="2"/>
  </r>
  <r>
    <x v="2"/>
    <x v="5"/>
    <x v="28"/>
    <x v="36"/>
    <n v="34"/>
    <x v="98"/>
    <n v="24"/>
    <n v="2"/>
    <n v="26"/>
    <n v="20"/>
    <n v="4"/>
    <n v="4"/>
    <n v="0.26666666666666666"/>
    <n v="2.2222222222222223E-2"/>
    <n v="0.28888888888888886"/>
    <n v="0.24926132632961262"/>
    <n v="0.28915662650602408"/>
    <x v="3"/>
  </r>
  <r>
    <x v="2"/>
    <x v="5"/>
    <x v="29"/>
    <x v="28"/>
    <n v="32"/>
    <x v="99"/>
    <n v="9"/>
    <n v="6"/>
    <n v="15"/>
    <n v="8"/>
    <n v="1"/>
    <n v="1"/>
    <n v="0.1"/>
    <n v="6.6666666666666666E-2"/>
    <n v="0.16666666666666666"/>
    <n v="0.22907091267235719"/>
    <n v="0.10843373493975904"/>
    <x v="3"/>
  </r>
  <r>
    <x v="3"/>
    <x v="0"/>
    <x v="1"/>
    <x v="8"/>
    <n v="47"/>
    <x v="100"/>
    <n v="31"/>
    <n v="6"/>
    <n v="37"/>
    <n v="24"/>
    <n v="7"/>
    <n v="7"/>
    <n v="0.34444444444444444"/>
    <n v="6.6666666666666666E-2"/>
    <n v="0.41111111111111109"/>
    <n v="0.29184042257436754"/>
    <n v="0.36274509803921567"/>
    <x v="3"/>
  </r>
  <r>
    <x v="3"/>
    <x v="0"/>
    <x v="2"/>
    <x v="9"/>
    <n v="41"/>
    <x v="101"/>
    <n v="16"/>
    <n v="8"/>
    <n v="24"/>
    <n v="16"/>
    <n v="0"/>
    <n v="0"/>
    <n v="0.17777777777777778"/>
    <n v="8.8888888888888892E-2"/>
    <n v="0.26666666666666666"/>
    <n v="0.26035585209897139"/>
    <n v="0.23529411764705882"/>
    <x v="2"/>
  </r>
  <r>
    <x v="3"/>
    <x v="0"/>
    <x v="0"/>
    <x v="9"/>
    <n v="38"/>
    <x v="102"/>
    <n v="9"/>
    <n v="9"/>
    <n v="18"/>
    <n v="9"/>
    <n v="0"/>
    <n v="0"/>
    <n v="0.1"/>
    <n v="0.1"/>
    <n v="0.2"/>
    <n v="0.2335279399499583"/>
    <n v="0.17647058823529413"/>
    <x v="2"/>
  </r>
  <r>
    <x v="3"/>
    <x v="0"/>
    <x v="54"/>
    <x v="41"/>
    <n v="19"/>
    <x v="103"/>
    <n v="13"/>
    <n v="1"/>
    <n v="14"/>
    <n v="13"/>
    <n v="0"/>
    <n v="0"/>
    <n v="0.14444444444444443"/>
    <n v="1.1111111111111112E-2"/>
    <n v="0.15555555555555556"/>
    <n v="0.12232415902140673"/>
    <n v="0.13725490196078433"/>
    <x v="2"/>
  </r>
  <r>
    <x v="3"/>
    <x v="0"/>
    <x v="55"/>
    <x v="35"/>
    <n v="7"/>
    <x v="104"/>
    <n v="4"/>
    <n v="2"/>
    <n v="6"/>
    <n v="4"/>
    <n v="0"/>
    <n v="0"/>
    <n v="4.4444444444444446E-2"/>
    <n v="2.2222222222222223E-2"/>
    <n v="6.6666666666666666E-2"/>
    <n v="5.4281345565749234E-2"/>
    <n v="5.8823529411764705E-2"/>
    <x v="2"/>
  </r>
  <r>
    <x v="3"/>
    <x v="0"/>
    <x v="33"/>
    <x v="35"/>
    <n v="6"/>
    <x v="105"/>
    <n v="1"/>
    <n v="2"/>
    <n v="3"/>
    <n v="1"/>
    <n v="0"/>
    <n v="0"/>
    <n v="1.1111111111111112E-2"/>
    <n v="2.2222222222222223E-2"/>
    <n v="3.3333333333333333E-2"/>
    <n v="3.7670280789546845E-2"/>
    <n v="2.9411764705882353E-2"/>
    <x v="2"/>
  </r>
  <r>
    <x v="3"/>
    <x v="1"/>
    <x v="8"/>
    <x v="5"/>
    <n v="33"/>
    <x v="106"/>
    <n v="15"/>
    <n v="4"/>
    <n v="19"/>
    <n v="13"/>
    <n v="2"/>
    <n v="2"/>
    <n v="0.16666666666666666"/>
    <n v="4.4444444444444446E-2"/>
    <n v="0.21111111111111111"/>
    <n v="0.24661641948294027"/>
    <n v="0.24050632911392406"/>
    <x v="3"/>
  </r>
  <r>
    <x v="3"/>
    <x v="1"/>
    <x v="46"/>
    <x v="22"/>
    <n v="30"/>
    <x v="107"/>
    <n v="16"/>
    <n v="5"/>
    <n v="21"/>
    <n v="14"/>
    <n v="2"/>
    <n v="2"/>
    <n v="0.17777777777777778"/>
    <n v="5.5555555555555552E-2"/>
    <n v="0.23333333333333334"/>
    <n v="0.23778264040846098"/>
    <n v="0.26582278481012656"/>
    <x v="3"/>
  </r>
  <r>
    <x v="3"/>
    <x v="1"/>
    <x v="6"/>
    <x v="42"/>
    <n v="28"/>
    <x v="108"/>
    <n v="17"/>
    <n v="3"/>
    <n v="20"/>
    <n v="13"/>
    <n v="4"/>
    <n v="4"/>
    <n v="0.18888888888888888"/>
    <n v="3.3333333333333333E-2"/>
    <n v="0.22222222222222221"/>
    <n v="0.19807115649566415"/>
    <n v="0.25316455696202533"/>
    <x v="3"/>
  </r>
  <r>
    <x v="3"/>
    <x v="1"/>
    <x v="36"/>
    <x v="43"/>
    <n v="21"/>
    <x v="109"/>
    <n v="1"/>
    <n v="7"/>
    <n v="8"/>
    <n v="1"/>
    <n v="0"/>
    <n v="0"/>
    <n v="1.1111111111111112E-2"/>
    <n v="7.7777777777777779E-2"/>
    <n v="8.8888888888888892E-2"/>
    <n v="0.15333495421022772"/>
    <n v="0.10126582278481013"/>
    <x v="2"/>
  </r>
  <r>
    <x v="3"/>
    <x v="1"/>
    <x v="10"/>
    <x v="44"/>
    <n v="14"/>
    <x v="110"/>
    <n v="6"/>
    <n v="1"/>
    <n v="7"/>
    <n v="6"/>
    <n v="0"/>
    <n v="0"/>
    <n v="6.6666666666666666E-2"/>
    <n v="1.1111111111111112E-2"/>
    <n v="7.7777777777777779E-2"/>
    <n v="9.919766593727207E-2"/>
    <n v="8.8607594936708861E-2"/>
    <x v="2"/>
  </r>
  <r>
    <x v="3"/>
    <x v="1"/>
    <x v="56"/>
    <x v="30"/>
    <n v="9"/>
    <x v="111"/>
    <n v="2"/>
    <n v="2"/>
    <n v="4"/>
    <n v="2"/>
    <n v="0"/>
    <n v="0"/>
    <n v="2.2222222222222223E-2"/>
    <n v="2.2222222222222223E-2"/>
    <n v="4.4444444444444446E-2"/>
    <n v="6.4997163465434799E-2"/>
    <n v="5.0632911392405063E-2"/>
    <x v="2"/>
  </r>
  <r>
    <x v="3"/>
    <x v="2"/>
    <x v="57"/>
    <x v="0"/>
    <n v="44"/>
    <x v="112"/>
    <n v="12"/>
    <n v="12"/>
    <n v="24"/>
    <n v="9"/>
    <n v="3"/>
    <n v="4"/>
    <n v="0.13333333333333333"/>
    <n v="0.13333333333333333"/>
    <n v="0.26666666666666666"/>
    <n v="0.24964038184909115"/>
    <n v="0.24742268041237114"/>
    <x v="4"/>
  </r>
  <r>
    <x v="3"/>
    <x v="2"/>
    <x v="58"/>
    <x v="17"/>
    <n v="29"/>
    <x v="113"/>
    <n v="9"/>
    <n v="7"/>
    <n v="16"/>
    <n v="9"/>
    <n v="0"/>
    <n v="0"/>
    <n v="0.1"/>
    <n v="7.7777777777777779E-2"/>
    <n v="0.17777777777777778"/>
    <n v="0.16483588335294888"/>
    <n v="0.16494845360824742"/>
    <x v="2"/>
  </r>
  <r>
    <x v="3"/>
    <x v="2"/>
    <x v="49"/>
    <x v="42"/>
    <n v="25"/>
    <x v="114"/>
    <n v="6"/>
    <n v="4"/>
    <n v="10"/>
    <n v="6"/>
    <n v="0"/>
    <n v="0"/>
    <n v="6.6666666666666666E-2"/>
    <n v="4.4444444444444446E-2"/>
    <n v="0.1111111111111111"/>
    <n v="0.16071662089708383"/>
    <n v="0.10309278350515463"/>
    <x v="2"/>
  </r>
  <r>
    <x v="3"/>
    <x v="2"/>
    <x v="59"/>
    <x v="5"/>
    <n v="23"/>
    <x v="115"/>
    <n v="6"/>
    <n v="4"/>
    <n v="10"/>
    <n v="6"/>
    <n v="0"/>
    <n v="0"/>
    <n v="6.6666666666666666E-2"/>
    <n v="4.4444444444444446E-2"/>
    <n v="0.1111111111111111"/>
    <n v="0.12397018438603374"/>
    <n v="0.10309278350515463"/>
    <x v="2"/>
  </r>
  <r>
    <x v="3"/>
    <x v="2"/>
    <x v="38"/>
    <x v="43"/>
    <n v="19"/>
    <x v="116"/>
    <n v="5"/>
    <n v="5"/>
    <n v="10"/>
    <n v="5"/>
    <n v="0"/>
    <n v="0"/>
    <n v="5.5555555555555552E-2"/>
    <n v="5.5555555555555552E-2"/>
    <n v="0.1111111111111111"/>
    <n v="0.12115862429710998"/>
    <n v="0.10309278350515463"/>
    <x v="2"/>
  </r>
  <r>
    <x v="3"/>
    <x v="2"/>
    <x v="48"/>
    <x v="38"/>
    <n v="18"/>
    <x v="117"/>
    <n v="12"/>
    <n v="4"/>
    <n v="16"/>
    <n v="12"/>
    <n v="0"/>
    <n v="0"/>
    <n v="0.13333333333333333"/>
    <n v="4.4444444444444446E-2"/>
    <n v="0.17777777777777778"/>
    <n v="0.10062769713613182"/>
    <n v="0.16494845360824742"/>
    <x v="2"/>
  </r>
  <r>
    <x v="3"/>
    <x v="2"/>
    <x v="7"/>
    <x v="19"/>
    <n v="12"/>
    <x v="118"/>
    <n v="11"/>
    <n v="0"/>
    <n v="11"/>
    <n v="10"/>
    <n v="1"/>
    <n v="1"/>
    <n v="0.12222222222222222"/>
    <n v="0"/>
    <n v="0.12222222222222222"/>
    <n v="7.9050608081600623E-2"/>
    <n v="0.1134020618556701"/>
    <x v="3"/>
  </r>
  <r>
    <x v="3"/>
    <x v="3"/>
    <x v="16"/>
    <x v="14"/>
    <n v="41"/>
    <x v="119"/>
    <n v="14"/>
    <n v="10"/>
    <n v="24"/>
    <n v="14"/>
    <n v="0"/>
    <n v="1"/>
    <n v="0.15555555555555556"/>
    <n v="0.1111111111111111"/>
    <n v="0.26666666666666666"/>
    <n v="0.18975857296632323"/>
    <n v="0.1875"/>
    <x v="6"/>
  </r>
  <r>
    <x v="3"/>
    <x v="3"/>
    <x v="39"/>
    <x v="9"/>
    <n v="39"/>
    <x v="120"/>
    <n v="14"/>
    <n v="9"/>
    <n v="23"/>
    <n v="13"/>
    <n v="1"/>
    <n v="1"/>
    <n v="0.15555555555555556"/>
    <n v="0.1"/>
    <n v="0.25555555555555554"/>
    <n v="0.17632887385309345"/>
    <n v="0.1796875"/>
    <x v="3"/>
  </r>
  <r>
    <x v="3"/>
    <x v="3"/>
    <x v="50"/>
    <x v="1"/>
    <n v="36"/>
    <x v="121"/>
    <n v="16"/>
    <n v="10"/>
    <n v="26"/>
    <n v="16"/>
    <n v="0"/>
    <n v="0"/>
    <n v="0.17777777777777778"/>
    <n v="0.1111111111111111"/>
    <n v="0.28888888888888886"/>
    <n v="0.17315085345225281"/>
    <n v="0.203125"/>
    <x v="2"/>
  </r>
  <r>
    <x v="3"/>
    <x v="3"/>
    <x v="20"/>
    <x v="17"/>
    <n v="39"/>
    <x v="87"/>
    <n v="5"/>
    <n v="9"/>
    <n v="14"/>
    <n v="5"/>
    <n v="0"/>
    <n v="0"/>
    <n v="5.5555555555555552E-2"/>
    <n v="0.1"/>
    <n v="0.15555555555555556"/>
    <n v="0.16971654108360243"/>
    <n v="0.109375"/>
    <x v="2"/>
  </r>
  <r>
    <x v="3"/>
    <x v="3"/>
    <x v="19"/>
    <x v="2"/>
    <n v="30"/>
    <x v="40"/>
    <n v="14"/>
    <n v="4"/>
    <n v="18"/>
    <n v="14"/>
    <n v="0"/>
    <n v="0"/>
    <n v="0.15555555555555556"/>
    <n v="4.4444444444444446E-2"/>
    <n v="0.2"/>
    <n v="0.145573837715926"/>
    <n v="0.140625"/>
    <x v="2"/>
  </r>
  <r>
    <x v="3"/>
    <x v="3"/>
    <x v="60"/>
    <x v="29"/>
    <n v="24"/>
    <x v="122"/>
    <n v="13"/>
    <n v="3"/>
    <n v="16"/>
    <n v="13"/>
    <n v="0"/>
    <n v="0"/>
    <n v="0.14444444444444443"/>
    <n v="3.3333333333333333E-2"/>
    <n v="0.17777777777777778"/>
    <n v="0.10815521041570557"/>
    <n v="0.125"/>
    <x v="2"/>
  </r>
  <r>
    <x v="3"/>
    <x v="3"/>
    <x v="18"/>
    <x v="33"/>
    <n v="8"/>
    <x v="123"/>
    <n v="6"/>
    <n v="1"/>
    <n v="7"/>
    <n v="4"/>
    <n v="2"/>
    <n v="3"/>
    <n v="6.6666666666666666E-2"/>
    <n v="1.1111111111111112E-2"/>
    <n v="7.7777777777777779E-2"/>
    <n v="3.7316110513096516E-2"/>
    <n v="5.46875E-2"/>
    <x v="7"/>
  </r>
  <r>
    <x v="3"/>
    <x v="4"/>
    <x v="22"/>
    <x v="45"/>
    <n v="46"/>
    <x v="124"/>
    <n v="21"/>
    <n v="13"/>
    <n v="34"/>
    <n v="20"/>
    <n v="1"/>
    <n v="1"/>
    <n v="0.23333333333333334"/>
    <n v="0.14444444444444443"/>
    <n v="0.37777777777777777"/>
    <n v="0.30900007456565504"/>
    <n v="0.36956521739130432"/>
    <x v="3"/>
  </r>
  <r>
    <x v="3"/>
    <x v="4"/>
    <x v="52"/>
    <x v="0"/>
    <n v="36"/>
    <x v="125"/>
    <n v="12"/>
    <n v="5"/>
    <n v="17"/>
    <n v="12"/>
    <n v="0"/>
    <n v="0"/>
    <n v="0.13333333333333333"/>
    <n v="5.5555555555555552E-2"/>
    <n v="0.18888888888888888"/>
    <n v="0.2342852881962568"/>
    <n v="0.18478260869565216"/>
    <x v="2"/>
  </r>
  <r>
    <x v="3"/>
    <x v="4"/>
    <x v="25"/>
    <x v="29"/>
    <n v="27"/>
    <x v="126"/>
    <n v="7"/>
    <n v="5"/>
    <n v="12"/>
    <n v="6"/>
    <n v="1"/>
    <n v="1"/>
    <n v="7.7777777777777779E-2"/>
    <n v="5.5555555555555552E-2"/>
    <n v="0.13333333333333333"/>
    <n v="0.18007605696816045"/>
    <n v="0.13043478260869565"/>
    <x v="3"/>
  </r>
  <r>
    <x v="3"/>
    <x v="4"/>
    <x v="61"/>
    <x v="5"/>
    <n v="21"/>
    <x v="127"/>
    <n v="17"/>
    <n v="5"/>
    <n v="22"/>
    <n v="17"/>
    <n v="0"/>
    <n v="0"/>
    <n v="0.18888888888888888"/>
    <n v="5.5555555555555552E-2"/>
    <n v="0.24444444444444444"/>
    <n v="0.16344791588994109"/>
    <n v="0.2391304347826087"/>
    <x v="2"/>
  </r>
  <r>
    <x v="3"/>
    <x v="4"/>
    <x v="51"/>
    <x v="3"/>
    <n v="18"/>
    <x v="128"/>
    <n v="5"/>
    <n v="2"/>
    <n v="7"/>
    <n v="5"/>
    <n v="0"/>
    <n v="0"/>
    <n v="5.5555555555555552E-2"/>
    <n v="2.2222222222222223E-2"/>
    <n v="7.7777777777777779E-2"/>
    <n v="0.11319066437998658"/>
    <n v="7.6086956521739135E-2"/>
    <x v="2"/>
  </r>
  <r>
    <x v="3"/>
    <x v="5"/>
    <x v="30"/>
    <x v="14"/>
    <n v="42"/>
    <x v="129"/>
    <n v="21"/>
    <n v="14"/>
    <n v="35"/>
    <n v="20"/>
    <n v="1"/>
    <n v="1"/>
    <n v="0.23333333333333334"/>
    <n v="0.15555555555555556"/>
    <n v="0.3888888888888889"/>
    <n v="0.26043519912412755"/>
    <n v="0.28455284552845528"/>
    <x v="3"/>
  </r>
  <r>
    <x v="3"/>
    <x v="5"/>
    <x v="28"/>
    <x v="13"/>
    <n v="41"/>
    <x v="130"/>
    <n v="28"/>
    <n v="16"/>
    <n v="44"/>
    <n v="24"/>
    <n v="4"/>
    <n v="4"/>
    <n v="0.31111111111111112"/>
    <n v="0.17777777777777778"/>
    <n v="0.48888888888888887"/>
    <n v="0.25920350348980431"/>
    <n v="0.35772357723577236"/>
    <x v="3"/>
  </r>
  <r>
    <x v="3"/>
    <x v="5"/>
    <x v="32"/>
    <x v="22"/>
    <n v="27"/>
    <x v="131"/>
    <n v="8"/>
    <n v="7"/>
    <n v="15"/>
    <n v="8"/>
    <n v="0"/>
    <n v="0"/>
    <n v="8.8888888888888892E-2"/>
    <n v="7.7777777777777779E-2"/>
    <n v="0.16666666666666666"/>
    <n v="0.16593677295743808"/>
    <n v="0.12195121951219512"/>
    <x v="2"/>
  </r>
  <r>
    <x v="3"/>
    <x v="5"/>
    <x v="62"/>
    <x v="36"/>
    <n v="19"/>
    <x v="132"/>
    <n v="16"/>
    <n v="4"/>
    <n v="20"/>
    <n v="15"/>
    <n v="1"/>
    <n v="1"/>
    <n v="0.17777777777777778"/>
    <n v="4.4444444444444446E-2"/>
    <n v="0.22222222222222221"/>
    <n v="0.11393184617490078"/>
    <n v="0.16260162601626016"/>
    <x v="3"/>
  </r>
  <r>
    <x v="3"/>
    <x v="5"/>
    <x v="63"/>
    <x v="38"/>
    <n v="17"/>
    <x v="133"/>
    <n v="1"/>
    <n v="3"/>
    <n v="4"/>
    <n v="1"/>
    <n v="0"/>
    <n v="0"/>
    <n v="1.1111111111111112E-2"/>
    <n v="3.3333333333333333E-2"/>
    <n v="4.4444444444444446E-2"/>
    <n v="0.1103051868071712"/>
    <n v="3.2520325203252036E-2"/>
    <x v="2"/>
  </r>
  <r>
    <x v="3"/>
    <x v="5"/>
    <x v="42"/>
    <x v="31"/>
    <n v="12"/>
    <x v="134"/>
    <n v="3"/>
    <n v="2"/>
    <n v="5"/>
    <n v="3"/>
    <n v="0"/>
    <n v="0"/>
    <n v="3.3333333333333333E-2"/>
    <n v="2.2222222222222223E-2"/>
    <n v="5.5555555555555552E-2"/>
    <n v="9.0187491446558091E-2"/>
    <n v="4.065040650406504E-2"/>
    <x v="2"/>
  </r>
  <r>
    <x v="4"/>
    <x v="0"/>
    <x v="1"/>
    <x v="8"/>
    <n v="45"/>
    <x v="135"/>
    <n v="31"/>
    <n v="15"/>
    <n v="46"/>
    <n v="25"/>
    <n v="6"/>
    <n v="8"/>
    <n v="0.34444444444444444"/>
    <n v="0.16666666666666666"/>
    <n v="0.51111111111111107"/>
    <n v="0.24106820642367377"/>
    <n v="0.31724137931034485"/>
    <x v="4"/>
  </r>
  <r>
    <x v="4"/>
    <x v="0"/>
    <x v="2"/>
    <x v="8"/>
    <n v="46"/>
    <x v="1"/>
    <n v="23"/>
    <n v="3"/>
    <n v="26"/>
    <n v="23"/>
    <n v="0"/>
    <n v="0"/>
    <n v="0.25555555555555554"/>
    <n v="3.3333333333333333E-2"/>
    <n v="0.28888888888888886"/>
    <n v="0.2361963190184049"/>
    <n v="0.1793103448275862"/>
    <x v="2"/>
  </r>
  <r>
    <x v="4"/>
    <x v="0"/>
    <x v="54"/>
    <x v="46"/>
    <n v="39"/>
    <x v="136"/>
    <n v="21"/>
    <n v="6"/>
    <n v="27"/>
    <n v="21"/>
    <n v="0"/>
    <n v="0"/>
    <n v="0.23333333333333334"/>
    <n v="6.6666666666666666E-2"/>
    <n v="0.3"/>
    <n v="0.2144231925899194"/>
    <n v="0.18620689655172415"/>
    <x v="2"/>
  </r>
  <r>
    <x v="4"/>
    <x v="0"/>
    <x v="0"/>
    <x v="32"/>
    <n v="17"/>
    <x v="137"/>
    <n v="11"/>
    <n v="5"/>
    <n v="16"/>
    <n v="11"/>
    <n v="0"/>
    <n v="0"/>
    <n v="0.12222222222222222"/>
    <n v="5.5555555555555552E-2"/>
    <n v="0.17777777777777778"/>
    <n v="0.10910621917478648"/>
    <n v="0.1103448275862069"/>
    <x v="2"/>
  </r>
  <r>
    <x v="4"/>
    <x v="0"/>
    <x v="64"/>
    <x v="3"/>
    <n v="18"/>
    <x v="138"/>
    <n v="6"/>
    <n v="4"/>
    <n v="10"/>
    <n v="6"/>
    <n v="0"/>
    <n v="0"/>
    <n v="6.6666666666666666E-2"/>
    <n v="4.4444444444444446E-2"/>
    <n v="0.1111111111111111"/>
    <n v="0.1014074341392999"/>
    <n v="6.8965517241379309E-2"/>
    <x v="2"/>
  </r>
  <r>
    <x v="4"/>
    <x v="0"/>
    <x v="55"/>
    <x v="25"/>
    <n v="9"/>
    <x v="139"/>
    <n v="10"/>
    <n v="1"/>
    <n v="11"/>
    <n v="10"/>
    <n v="0"/>
    <n v="0"/>
    <n v="0.1111111111111111"/>
    <n v="1.1111111111111112E-2"/>
    <n v="0.12222222222222222"/>
    <n v="6.1409840009623483E-2"/>
    <n v="7.586206896551724E-2"/>
    <x v="2"/>
  </r>
  <r>
    <x v="4"/>
    <x v="0"/>
    <x v="33"/>
    <x v="11"/>
    <n v="5"/>
    <x v="140"/>
    <n v="6"/>
    <n v="3"/>
    <n v="9"/>
    <n v="6"/>
    <n v="0"/>
    <n v="0"/>
    <n v="6.6666666666666666E-2"/>
    <n v="3.3333333333333333E-2"/>
    <n v="0.1"/>
    <n v="3.6388788644292069E-2"/>
    <n v="6.2068965517241378E-2"/>
    <x v="2"/>
  </r>
  <r>
    <x v="4"/>
    <x v="1"/>
    <x v="65"/>
    <x v="42"/>
    <n v="40"/>
    <x v="141"/>
    <n v="12"/>
    <n v="7"/>
    <n v="19"/>
    <n v="10"/>
    <n v="2"/>
    <n v="2"/>
    <n v="0.13333333333333333"/>
    <n v="7.7777777777777779E-2"/>
    <n v="0.21111111111111111"/>
    <n v="0.33053193593039354"/>
    <n v="0.29230769230769232"/>
    <x v="3"/>
  </r>
  <r>
    <x v="4"/>
    <x v="1"/>
    <x v="56"/>
    <x v="29"/>
    <n v="26"/>
    <x v="142"/>
    <n v="6"/>
    <n v="6"/>
    <n v="12"/>
    <n v="5"/>
    <n v="1"/>
    <n v="1"/>
    <n v="6.6666666666666666E-2"/>
    <n v="6.6666666666666666E-2"/>
    <n v="0.13333333333333333"/>
    <n v="0.23017599367213762"/>
    <n v="0.18461538461538463"/>
    <x v="3"/>
  </r>
  <r>
    <x v="4"/>
    <x v="1"/>
    <x v="6"/>
    <x v="29"/>
    <n v="23"/>
    <x v="143"/>
    <n v="6"/>
    <n v="8"/>
    <n v="14"/>
    <n v="3"/>
    <n v="3"/>
    <n v="4"/>
    <n v="6.6666666666666666E-2"/>
    <n v="8.8888888888888892E-2"/>
    <n v="0.15555555555555556"/>
    <n v="0.20763298398259838"/>
    <n v="0.2153846153846154"/>
    <x v="4"/>
  </r>
  <r>
    <x v="4"/>
    <x v="1"/>
    <x v="10"/>
    <x v="47"/>
    <n v="13"/>
    <x v="144"/>
    <n v="10"/>
    <n v="1"/>
    <n v="11"/>
    <n v="10"/>
    <n v="0"/>
    <n v="0"/>
    <n v="0.1111111111111111"/>
    <n v="1.1111111111111112E-2"/>
    <n v="0.12222222222222222"/>
    <n v="0.12171247775360886"/>
    <n v="0.16923076923076924"/>
    <x v="2"/>
  </r>
  <r>
    <x v="4"/>
    <x v="1"/>
    <x v="8"/>
    <x v="48"/>
    <n v="13"/>
    <x v="145"/>
    <n v="7"/>
    <n v="2"/>
    <n v="9"/>
    <n v="7"/>
    <n v="0"/>
    <n v="2"/>
    <n v="7.7777777777777779E-2"/>
    <n v="2.2222222222222223E-2"/>
    <n v="0.1"/>
    <n v="0.10994660866126162"/>
    <n v="0.13846153846153847"/>
    <x v="6"/>
  </r>
  <r>
    <x v="4"/>
    <x v="2"/>
    <x v="58"/>
    <x v="17"/>
    <n v="33"/>
    <x v="146"/>
    <n v="13"/>
    <n v="5"/>
    <n v="18"/>
    <n v="13"/>
    <n v="0"/>
    <n v="0"/>
    <n v="0.14444444444444443"/>
    <n v="5.5555555555555552E-2"/>
    <n v="0.2"/>
    <n v="0.25448599698138519"/>
    <n v="0.28125"/>
    <x v="2"/>
  </r>
  <r>
    <x v="4"/>
    <x v="2"/>
    <x v="21"/>
    <x v="2"/>
    <n v="27"/>
    <x v="147"/>
    <n v="13"/>
    <n v="0"/>
    <n v="13"/>
    <n v="12"/>
    <n v="1"/>
    <n v="1"/>
    <n v="0.14444444444444443"/>
    <n v="0"/>
    <n v="0.14444444444444443"/>
    <n v="0.21708871373469729"/>
    <n v="0.203125"/>
    <x v="3"/>
  </r>
  <r>
    <x v="4"/>
    <x v="2"/>
    <x v="59"/>
    <x v="2"/>
    <n v="26"/>
    <x v="148"/>
    <n v="8"/>
    <n v="6"/>
    <n v="14"/>
    <n v="7"/>
    <n v="1"/>
    <n v="1"/>
    <n v="8.8888888888888892E-2"/>
    <n v="6.6666666666666666E-2"/>
    <n v="0.15555555555555556"/>
    <n v="0.20040248197216165"/>
    <n v="0.21875"/>
    <x v="3"/>
  </r>
  <r>
    <x v="4"/>
    <x v="2"/>
    <x v="49"/>
    <x v="43"/>
    <n v="21"/>
    <x v="149"/>
    <n v="8"/>
    <n v="4"/>
    <n v="12"/>
    <n v="8"/>
    <n v="0"/>
    <n v="0"/>
    <n v="8.8888888888888892E-2"/>
    <n v="4.4444444444444446E-2"/>
    <n v="0.13333333333333333"/>
    <n v="0.1779305718598021"/>
    <n v="0.1875"/>
    <x v="2"/>
  </r>
  <r>
    <x v="4"/>
    <x v="2"/>
    <x v="38"/>
    <x v="47"/>
    <n v="21"/>
    <x v="150"/>
    <n v="3"/>
    <n v="4"/>
    <n v="7"/>
    <n v="3"/>
    <n v="0"/>
    <n v="0"/>
    <n v="3.3333333333333333E-2"/>
    <n v="4.4444444444444446E-2"/>
    <n v="7.7777777777777779E-2"/>
    <n v="0.15009223545195371"/>
    <n v="0.109375"/>
    <x v="2"/>
  </r>
  <r>
    <x v="4"/>
    <x v="3"/>
    <x v="20"/>
    <x v="1"/>
    <n v="46"/>
    <x v="151"/>
    <n v="13"/>
    <n v="7"/>
    <n v="20"/>
    <n v="13"/>
    <n v="0"/>
    <n v="0"/>
    <n v="0.14444444444444443"/>
    <n v="7.7777777777777779E-2"/>
    <n v="0.22222222222222221"/>
    <n v="0.2020714761831513"/>
    <n v="0.13793103448275862"/>
    <x v="2"/>
  </r>
  <r>
    <x v="4"/>
    <x v="3"/>
    <x v="50"/>
    <x v="17"/>
    <n v="36"/>
    <x v="152"/>
    <n v="14"/>
    <n v="11"/>
    <n v="25"/>
    <n v="14"/>
    <n v="0"/>
    <n v="0"/>
    <n v="0.15555555555555556"/>
    <n v="0.12222222222222222"/>
    <n v="0.27777777777777779"/>
    <n v="0.16459006306722043"/>
    <n v="0.17241379310344829"/>
    <x v="2"/>
  </r>
  <r>
    <x v="4"/>
    <x v="3"/>
    <x v="16"/>
    <x v="22"/>
    <n v="32"/>
    <x v="153"/>
    <n v="17"/>
    <n v="8"/>
    <n v="25"/>
    <n v="15"/>
    <n v="2"/>
    <n v="3"/>
    <n v="0.18888888888888888"/>
    <n v="8.8888888888888892E-2"/>
    <n v="0.27777777777777779"/>
    <n v="0.16028303337948008"/>
    <n v="0.17241379310344829"/>
    <x v="7"/>
  </r>
  <r>
    <x v="4"/>
    <x v="3"/>
    <x v="39"/>
    <x v="22"/>
    <n v="31"/>
    <x v="107"/>
    <n v="24"/>
    <n v="9"/>
    <n v="33"/>
    <n v="17"/>
    <n v="7"/>
    <n v="8"/>
    <n v="0.26666666666666666"/>
    <n v="0.1"/>
    <n v="0.36666666666666664"/>
    <n v="0.15043839409321644"/>
    <n v="0.22758620689655173"/>
    <x v="10"/>
  </r>
  <r>
    <x v="4"/>
    <x v="3"/>
    <x v="66"/>
    <x v="5"/>
    <n v="31"/>
    <x v="154"/>
    <n v="6"/>
    <n v="4"/>
    <n v="10"/>
    <n v="6"/>
    <n v="0"/>
    <n v="0"/>
    <n v="6.6666666666666666E-2"/>
    <n v="4.4444444444444446E-2"/>
    <n v="0.1111111111111111"/>
    <n v="0.14136286725119213"/>
    <n v="6.8965517241379309E-2"/>
    <x v="2"/>
  </r>
  <r>
    <x v="4"/>
    <x v="3"/>
    <x v="19"/>
    <x v="40"/>
    <n v="28"/>
    <x v="155"/>
    <n v="13"/>
    <n v="11"/>
    <n v="24"/>
    <n v="12"/>
    <n v="1"/>
    <n v="2"/>
    <n v="0.14444444444444443"/>
    <n v="0.12222222222222222"/>
    <n v="0.26666666666666666"/>
    <n v="0.1333640978311029"/>
    <n v="0.16551724137931034"/>
    <x v="1"/>
  </r>
  <r>
    <x v="4"/>
    <x v="3"/>
    <x v="60"/>
    <x v="18"/>
    <n v="7"/>
    <x v="156"/>
    <n v="3"/>
    <n v="1"/>
    <n v="4"/>
    <n v="3"/>
    <n v="0"/>
    <n v="0"/>
    <n v="3.3333333333333333E-2"/>
    <n v="1.1111111111111112E-2"/>
    <n v="4.4444444444444446E-2"/>
    <n v="2.6508742244782856E-2"/>
    <n v="2.7586206896551724E-2"/>
    <x v="2"/>
  </r>
  <r>
    <x v="4"/>
    <x v="3"/>
    <x v="67"/>
    <x v="20"/>
    <n v="4"/>
    <x v="157"/>
    <n v="3"/>
    <n v="1"/>
    <n v="4"/>
    <n v="3"/>
    <n v="0"/>
    <n v="0"/>
    <n v="3.3333333333333333E-2"/>
    <n v="1.1111111111111112E-2"/>
    <n v="4.4444444444444446E-2"/>
    <n v="2.1381325949853869E-2"/>
    <n v="2.7586206896551724E-2"/>
    <x v="2"/>
  </r>
  <r>
    <x v="4"/>
    <x v="4"/>
    <x v="68"/>
    <x v="28"/>
    <n v="35"/>
    <x v="158"/>
    <n v="24"/>
    <n v="3"/>
    <n v="27"/>
    <n v="21"/>
    <n v="3"/>
    <n v="4"/>
    <n v="0.26666666666666666"/>
    <n v="3.3333333333333333E-2"/>
    <n v="0.3"/>
    <n v="0.35797752808988764"/>
    <n v="0.54"/>
    <x v="4"/>
  </r>
  <r>
    <x v="4"/>
    <x v="4"/>
    <x v="52"/>
    <x v="25"/>
    <n v="20"/>
    <x v="159"/>
    <n v="6"/>
    <n v="2"/>
    <n v="8"/>
    <n v="6"/>
    <n v="0"/>
    <n v="0"/>
    <n v="6.6666666666666666E-2"/>
    <n v="2.2222222222222223E-2"/>
    <n v="8.8888888888888892E-2"/>
    <n v="0.1902247191011236"/>
    <n v="0.16"/>
    <x v="2"/>
  </r>
  <r>
    <x v="4"/>
    <x v="4"/>
    <x v="22"/>
    <x v="38"/>
    <n v="18"/>
    <x v="160"/>
    <n v="5"/>
    <n v="2"/>
    <n v="7"/>
    <n v="5"/>
    <n v="0"/>
    <n v="0"/>
    <n v="5.5555555555555552E-2"/>
    <n v="2.2222222222222223E-2"/>
    <n v="7.7777777777777779E-2"/>
    <n v="0.18617977528089888"/>
    <n v="0.14000000000000001"/>
    <x v="2"/>
  </r>
  <r>
    <x v="4"/>
    <x v="4"/>
    <x v="69"/>
    <x v="47"/>
    <n v="16"/>
    <x v="161"/>
    <n v="3"/>
    <n v="2"/>
    <n v="5"/>
    <n v="3"/>
    <n v="0"/>
    <n v="0"/>
    <n v="3.3333333333333333E-2"/>
    <n v="2.2222222222222223E-2"/>
    <n v="5.5555555555555552E-2"/>
    <n v="0.16269662921348316"/>
    <n v="0.1"/>
    <x v="2"/>
  </r>
  <r>
    <x v="4"/>
    <x v="4"/>
    <x v="61"/>
    <x v="33"/>
    <n v="8"/>
    <x v="162"/>
    <n v="2"/>
    <n v="1"/>
    <n v="3"/>
    <n v="2"/>
    <n v="0"/>
    <n v="0"/>
    <n v="2.2222222222222223E-2"/>
    <n v="1.1111111111111112E-2"/>
    <n v="3.3333333333333333E-2"/>
    <n v="0.10292134831460674"/>
    <n v="0.06"/>
    <x v="2"/>
  </r>
  <r>
    <x v="4"/>
    <x v="5"/>
    <x v="28"/>
    <x v="14"/>
    <n v="46"/>
    <x v="163"/>
    <n v="25"/>
    <n v="10"/>
    <n v="35"/>
    <n v="21"/>
    <n v="4"/>
    <n v="4"/>
    <n v="0.27777777777777779"/>
    <n v="0.1111111111111111"/>
    <n v="0.3888888888888889"/>
    <n v="0.31457399103139011"/>
    <n v="0.34313725490196079"/>
    <x v="3"/>
  </r>
  <r>
    <x v="4"/>
    <x v="5"/>
    <x v="30"/>
    <x v="26"/>
    <n v="39"/>
    <x v="164"/>
    <n v="24"/>
    <n v="8"/>
    <n v="32"/>
    <n v="24"/>
    <n v="0"/>
    <n v="0"/>
    <n v="0.26666666666666666"/>
    <n v="8.8888888888888892E-2"/>
    <n v="0.35555555555555557"/>
    <n v="0.26352765321375188"/>
    <n v="0.31372549019607843"/>
    <x v="2"/>
  </r>
  <r>
    <x v="4"/>
    <x v="5"/>
    <x v="32"/>
    <x v="26"/>
    <n v="25"/>
    <x v="165"/>
    <n v="6"/>
    <n v="8"/>
    <n v="14"/>
    <n v="6"/>
    <n v="0"/>
    <n v="0"/>
    <n v="6.6666666666666666E-2"/>
    <n v="8.8888888888888892E-2"/>
    <n v="0.15555555555555556"/>
    <n v="0.17578475336322871"/>
    <n v="0.13725490196078433"/>
    <x v="2"/>
  </r>
  <r>
    <x v="4"/>
    <x v="5"/>
    <x v="70"/>
    <x v="33"/>
    <n v="15"/>
    <x v="166"/>
    <n v="5"/>
    <n v="8"/>
    <n v="13"/>
    <n v="5"/>
    <n v="0"/>
    <n v="0"/>
    <n v="5.5555555555555552E-2"/>
    <n v="8.8888888888888892E-2"/>
    <n v="0.14444444444444443"/>
    <n v="0.10373692077727951"/>
    <n v="0.12745098039215685"/>
    <x v="2"/>
  </r>
  <r>
    <x v="4"/>
    <x v="5"/>
    <x v="29"/>
    <x v="35"/>
    <n v="13"/>
    <x v="167"/>
    <n v="2"/>
    <n v="1"/>
    <n v="3"/>
    <n v="0"/>
    <n v="2"/>
    <n v="2"/>
    <n v="2.2222222222222223E-2"/>
    <n v="1.1111111111111112E-2"/>
    <n v="3.3333333333333333E-2"/>
    <n v="7.7279521674140511E-2"/>
    <n v="2.9411764705882353E-2"/>
    <x v="3"/>
  </r>
  <r>
    <x v="4"/>
    <x v="5"/>
    <x v="63"/>
    <x v="19"/>
    <n v="8"/>
    <x v="168"/>
    <n v="4"/>
    <n v="1"/>
    <n v="5"/>
    <n v="4"/>
    <n v="0"/>
    <n v="0"/>
    <n v="4.4444444444444446E-2"/>
    <n v="1.1111111111111112E-2"/>
    <n v="5.5555555555555552E-2"/>
    <n v="6.5097159940209273E-2"/>
    <n v="4.9019607843137254E-2"/>
    <x v="2"/>
  </r>
  <r>
    <x v="5"/>
    <x v="0"/>
    <x v="1"/>
    <x v="8"/>
    <n v="48"/>
    <x v="169"/>
    <n v="30"/>
    <n v="16"/>
    <n v="46"/>
    <n v="26"/>
    <n v="4"/>
    <n v="6"/>
    <n v="0.33333333333333331"/>
    <n v="0.17777777777777778"/>
    <n v="0.51111111111111107"/>
    <n v="0.31397220190197511"/>
    <n v="0.38983050847457629"/>
    <x v="7"/>
  </r>
  <r>
    <x v="5"/>
    <x v="0"/>
    <x v="71"/>
    <x v="2"/>
    <n v="26"/>
    <x v="170"/>
    <n v="15"/>
    <n v="5"/>
    <n v="20"/>
    <n v="15"/>
    <n v="0"/>
    <n v="0"/>
    <n v="0.16666666666666666"/>
    <n v="5.5555555555555552E-2"/>
    <n v="0.22222222222222221"/>
    <n v="0.17505486466715436"/>
    <n v="0.16949152542372881"/>
    <x v="2"/>
  </r>
  <r>
    <x v="5"/>
    <x v="0"/>
    <x v="72"/>
    <x v="3"/>
    <n v="22"/>
    <x v="171"/>
    <n v="7"/>
    <n v="2"/>
    <n v="9"/>
    <n v="7"/>
    <n v="0"/>
    <n v="0"/>
    <n v="7.7777777777777779E-2"/>
    <n v="2.2222222222222223E-2"/>
    <n v="0.1"/>
    <n v="0.1351865398683248"/>
    <n v="7.6271186440677971E-2"/>
    <x v="2"/>
  </r>
  <r>
    <x v="5"/>
    <x v="0"/>
    <x v="0"/>
    <x v="32"/>
    <n v="18"/>
    <x v="172"/>
    <n v="13"/>
    <n v="5"/>
    <n v="18"/>
    <n v="13"/>
    <n v="0"/>
    <n v="0"/>
    <n v="0.14444444444444443"/>
    <n v="5.5555555555555552E-2"/>
    <n v="0.2"/>
    <n v="0.12750548646671545"/>
    <n v="0.15254237288135594"/>
    <x v="2"/>
  </r>
  <r>
    <x v="5"/>
    <x v="0"/>
    <x v="54"/>
    <x v="49"/>
    <n v="15"/>
    <x v="173"/>
    <n v="7"/>
    <n v="8"/>
    <n v="15"/>
    <n v="7"/>
    <n v="0"/>
    <n v="0"/>
    <n v="7.7777777777777779E-2"/>
    <n v="8.8888888888888892E-2"/>
    <n v="0.16666666666666666"/>
    <n v="0.10197512801755669"/>
    <n v="0.1271186440677966"/>
    <x v="2"/>
  </r>
  <r>
    <x v="5"/>
    <x v="0"/>
    <x v="64"/>
    <x v="21"/>
    <n v="15"/>
    <x v="174"/>
    <n v="5"/>
    <n v="2"/>
    <n v="7"/>
    <n v="5"/>
    <n v="0"/>
    <n v="0"/>
    <n v="5.5555555555555552E-2"/>
    <n v="2.2222222222222223E-2"/>
    <n v="7.7777777777777779E-2"/>
    <n v="9.9049012435991221E-2"/>
    <n v="5.9322033898305086E-2"/>
    <x v="2"/>
  </r>
  <r>
    <x v="5"/>
    <x v="0"/>
    <x v="73"/>
    <x v="21"/>
    <n v="8"/>
    <x v="175"/>
    <n v="3"/>
    <n v="0"/>
    <n v="3"/>
    <n v="3"/>
    <n v="0"/>
    <n v="0"/>
    <n v="3.3333333333333333E-2"/>
    <n v="0"/>
    <n v="3.3333333333333333E-2"/>
    <n v="4.7256766642282372E-2"/>
    <n v="2.5423728813559324E-2"/>
    <x v="2"/>
  </r>
  <r>
    <x v="5"/>
    <x v="1"/>
    <x v="65"/>
    <x v="9"/>
    <n v="42"/>
    <x v="176"/>
    <n v="15"/>
    <n v="11"/>
    <n v="26"/>
    <n v="13"/>
    <n v="2"/>
    <n v="3"/>
    <n v="0.16666666666666666"/>
    <n v="0.12222222222222222"/>
    <n v="0.28888888888888886"/>
    <n v="0.28616328095055577"/>
    <n v="0.27659574468085107"/>
    <x v="7"/>
  </r>
  <r>
    <x v="5"/>
    <x v="1"/>
    <x v="56"/>
    <x v="13"/>
    <n v="40"/>
    <x v="177"/>
    <n v="15"/>
    <n v="7"/>
    <n v="22"/>
    <n v="15"/>
    <n v="0"/>
    <n v="0"/>
    <n v="0.16666666666666666"/>
    <n v="7.7777777777777779E-2"/>
    <n v="0.24444444444444444"/>
    <n v="0.26270601763127638"/>
    <n v="0.23404255319148937"/>
    <x v="2"/>
  </r>
  <r>
    <x v="5"/>
    <x v="1"/>
    <x v="19"/>
    <x v="31"/>
    <n v="27"/>
    <x v="178"/>
    <n v="11"/>
    <n v="7"/>
    <n v="18"/>
    <n v="10"/>
    <n v="1"/>
    <n v="1"/>
    <n v="0.12222222222222222"/>
    <n v="7.7777777777777779E-2"/>
    <n v="0.2"/>
    <n v="0.17914909927175163"/>
    <n v="0.19148936170212766"/>
    <x v="3"/>
  </r>
  <r>
    <x v="5"/>
    <x v="1"/>
    <x v="10"/>
    <x v="5"/>
    <n v="18"/>
    <x v="179"/>
    <n v="9"/>
    <n v="2"/>
    <n v="11"/>
    <n v="9"/>
    <n v="0"/>
    <n v="0"/>
    <n v="0.1"/>
    <n v="2.2222222222222223E-2"/>
    <n v="0.12222222222222222"/>
    <n v="0.1438865465695669"/>
    <n v="0.11702127659574468"/>
    <x v="2"/>
  </r>
  <r>
    <x v="5"/>
    <x v="1"/>
    <x v="74"/>
    <x v="30"/>
    <n v="11"/>
    <x v="180"/>
    <n v="1"/>
    <n v="10"/>
    <n v="11"/>
    <n v="1"/>
    <n v="0"/>
    <n v="0"/>
    <n v="1.1111111111111112E-2"/>
    <n v="0.1111111111111111"/>
    <n v="0.12222222222222222"/>
    <n v="8.2100421617477964E-2"/>
    <n v="0.11702127659574468"/>
    <x v="2"/>
  </r>
  <r>
    <x v="5"/>
    <x v="1"/>
    <x v="47"/>
    <x v="11"/>
    <n v="5"/>
    <x v="181"/>
    <n v="3"/>
    <n v="3"/>
    <n v="6"/>
    <n v="3"/>
    <n v="0"/>
    <n v="0"/>
    <n v="3.3333333333333333E-2"/>
    <n v="3.3333333333333333E-2"/>
    <n v="6.6666666666666666E-2"/>
    <n v="4.5994633959371409E-2"/>
    <n v="6.3829787234042548E-2"/>
    <x v="2"/>
  </r>
  <r>
    <x v="5"/>
    <x v="2"/>
    <x v="58"/>
    <x v="22"/>
    <n v="38"/>
    <x v="182"/>
    <n v="9"/>
    <n v="1"/>
    <n v="10"/>
    <n v="7"/>
    <n v="2"/>
    <n v="3"/>
    <n v="0.1"/>
    <n v="1.1111111111111112E-2"/>
    <n v="0.1111111111111111"/>
    <n v="0.32587763289869609"/>
    <n v="0.2857142857142857"/>
    <x v="7"/>
  </r>
  <r>
    <x v="5"/>
    <x v="2"/>
    <x v="16"/>
    <x v="28"/>
    <n v="31"/>
    <x v="183"/>
    <n v="9"/>
    <n v="4"/>
    <n v="13"/>
    <n v="9"/>
    <n v="0"/>
    <n v="0"/>
    <n v="0.1"/>
    <n v="4.4444444444444446E-2"/>
    <n v="0.14444444444444443"/>
    <n v="0.2551654964894684"/>
    <n v="0.37142857142857144"/>
    <x v="2"/>
  </r>
  <r>
    <x v="5"/>
    <x v="2"/>
    <x v="75"/>
    <x v="17"/>
    <n v="21"/>
    <x v="184"/>
    <n v="3"/>
    <n v="1"/>
    <n v="4"/>
    <n v="3"/>
    <n v="0"/>
    <n v="0"/>
    <n v="3.3333333333333333E-2"/>
    <n v="1.1111111111111112E-2"/>
    <n v="4.4444444444444446E-2"/>
    <n v="0.2041123370110331"/>
    <n v="0.11428571428571428"/>
    <x v="2"/>
  </r>
  <r>
    <x v="5"/>
    <x v="2"/>
    <x v="76"/>
    <x v="33"/>
    <n v="14"/>
    <x v="185"/>
    <n v="4"/>
    <n v="0"/>
    <n v="4"/>
    <n v="4"/>
    <n v="0"/>
    <n v="0"/>
    <n v="4.4444444444444446E-2"/>
    <n v="0"/>
    <n v="4.4444444444444446E-2"/>
    <n v="0.11885656970912738"/>
    <n v="0.11428571428571428"/>
    <x v="2"/>
  </r>
  <r>
    <x v="5"/>
    <x v="2"/>
    <x v="8"/>
    <x v="21"/>
    <n v="11"/>
    <x v="186"/>
    <n v="3"/>
    <n v="1"/>
    <n v="4"/>
    <n v="3"/>
    <n v="0"/>
    <n v="0"/>
    <n v="3.3333333333333333E-2"/>
    <n v="1.1111111111111112E-2"/>
    <n v="4.4444444444444446E-2"/>
    <n v="9.5987963891675021E-2"/>
    <n v="0.11428571428571428"/>
    <x v="2"/>
  </r>
  <r>
    <x v="5"/>
    <x v="3"/>
    <x v="77"/>
    <x v="15"/>
    <n v="50"/>
    <x v="187"/>
    <n v="52"/>
    <n v="9"/>
    <n v="61"/>
    <n v="44"/>
    <n v="8"/>
    <n v="9"/>
    <n v="0.57777777777777772"/>
    <n v="0.1"/>
    <n v="0.67777777777777781"/>
    <n v="0.24495625781110517"/>
    <n v="0.43884892086330934"/>
    <x v="11"/>
  </r>
  <r>
    <x v="5"/>
    <x v="3"/>
    <x v="20"/>
    <x v="46"/>
    <n v="38"/>
    <x v="188"/>
    <n v="7"/>
    <n v="6"/>
    <n v="13"/>
    <n v="7"/>
    <n v="0"/>
    <n v="0"/>
    <n v="7.7777777777777779E-2"/>
    <n v="6.6666666666666666E-2"/>
    <n v="0.14444444444444443"/>
    <n v="0.21472356126882106"/>
    <n v="9.3525179856115109E-2"/>
    <x v="2"/>
  </r>
  <r>
    <x v="5"/>
    <x v="3"/>
    <x v="66"/>
    <x v="1"/>
    <n v="41"/>
    <x v="189"/>
    <n v="5"/>
    <n v="11"/>
    <n v="16"/>
    <n v="5"/>
    <n v="0"/>
    <n v="0"/>
    <n v="5.5555555555555552E-2"/>
    <n v="0.12222222222222222"/>
    <n v="0.17777777777777778"/>
    <n v="0.20674879485806105"/>
    <n v="0.11510791366906475"/>
    <x v="2"/>
  </r>
  <r>
    <x v="5"/>
    <x v="3"/>
    <x v="39"/>
    <x v="22"/>
    <n v="36"/>
    <x v="190"/>
    <n v="15"/>
    <n v="13"/>
    <n v="28"/>
    <n v="11"/>
    <n v="4"/>
    <n v="6"/>
    <n v="0.16666666666666666"/>
    <n v="0.14444444444444443"/>
    <n v="0.31111111111111112"/>
    <n v="0.18211033743974289"/>
    <n v="0.20143884892086331"/>
    <x v="7"/>
  </r>
  <r>
    <x v="5"/>
    <x v="3"/>
    <x v="78"/>
    <x v="14"/>
    <n v="23"/>
    <x v="191"/>
    <n v="17"/>
    <n v="4"/>
    <n v="21"/>
    <n v="15"/>
    <n v="2"/>
    <n v="2"/>
    <n v="0.18888888888888888"/>
    <n v="4.4444444444444446E-2"/>
    <n v="0.23333333333333334"/>
    <n v="0.15146104862226983"/>
    <n v="0.15107913669064749"/>
    <x v="3"/>
  </r>
  <r>
    <x v="5"/>
    <x v="4"/>
    <x v="22"/>
    <x v="24"/>
    <n v="46"/>
    <x v="192"/>
    <n v="30"/>
    <n v="9"/>
    <n v="39"/>
    <n v="29"/>
    <n v="1"/>
    <n v="1"/>
    <n v="0.33333333333333331"/>
    <n v="0.1"/>
    <n v="0.43333333333333335"/>
    <n v="0.44319239119197767"/>
    <n v="0.55714285714285716"/>
    <x v="3"/>
  </r>
  <r>
    <x v="5"/>
    <x v="4"/>
    <x v="79"/>
    <x v="19"/>
    <n v="20"/>
    <x v="193"/>
    <n v="2"/>
    <n v="3"/>
    <n v="5"/>
    <n v="2"/>
    <n v="0"/>
    <n v="0"/>
    <n v="2.2222222222222223E-2"/>
    <n v="3.3333333333333333E-2"/>
    <n v="5.5555555555555552E-2"/>
    <n v="0.17347255246562596"/>
    <n v="7.1428571428571425E-2"/>
    <x v="2"/>
  </r>
  <r>
    <x v="5"/>
    <x v="4"/>
    <x v="25"/>
    <x v="44"/>
    <n v="17"/>
    <x v="194"/>
    <n v="9"/>
    <n v="3"/>
    <n v="12"/>
    <n v="8"/>
    <n v="1"/>
    <n v="1"/>
    <n v="0.1"/>
    <n v="3.3333333333333333E-2"/>
    <n v="0.13333333333333333"/>
    <n v="0.14845446087046418"/>
    <n v="0.17142857142857143"/>
    <x v="3"/>
  </r>
  <r>
    <x v="5"/>
    <x v="4"/>
    <x v="80"/>
    <x v="36"/>
    <n v="11"/>
    <x v="195"/>
    <n v="5"/>
    <n v="4"/>
    <n v="9"/>
    <n v="5"/>
    <n v="0"/>
    <n v="0"/>
    <n v="5.5555555555555552E-2"/>
    <n v="4.4444444444444446E-2"/>
    <n v="0.1"/>
    <n v="0.12581412178228057"/>
    <n v="0.12857142857142856"/>
    <x v="2"/>
  </r>
  <r>
    <x v="5"/>
    <x v="4"/>
    <x v="68"/>
    <x v="6"/>
    <n v="10"/>
    <x v="196"/>
    <n v="3"/>
    <n v="2"/>
    <n v="5"/>
    <n v="2"/>
    <n v="1"/>
    <n v="1"/>
    <n v="3.3333333333333333E-2"/>
    <n v="2.2222222222222223E-2"/>
    <n v="5.5555555555555552E-2"/>
    <n v="0.10906647368965161"/>
    <n v="7.1428571428571425E-2"/>
    <x v="3"/>
  </r>
  <r>
    <x v="5"/>
    <x v="5"/>
    <x v="28"/>
    <x v="14"/>
    <n v="48"/>
    <x v="197"/>
    <n v="32"/>
    <n v="5"/>
    <n v="37"/>
    <n v="26"/>
    <n v="6"/>
    <n v="8"/>
    <n v="0.35555555555555557"/>
    <n v="5.5555555555555552E-2"/>
    <n v="0.41111111111111109"/>
    <n v="0.34818174455333278"/>
    <n v="0.5"/>
    <x v="4"/>
  </r>
  <r>
    <x v="5"/>
    <x v="5"/>
    <x v="30"/>
    <x v="22"/>
    <n v="44"/>
    <x v="198"/>
    <n v="14"/>
    <n v="6"/>
    <n v="20"/>
    <n v="14"/>
    <n v="0"/>
    <n v="0"/>
    <n v="0.15555555555555556"/>
    <n v="6.6666666666666666E-2"/>
    <n v="0.22222222222222221"/>
    <n v="0.30533732890580706"/>
    <n v="0.27027027027027029"/>
    <x v="2"/>
  </r>
  <r>
    <x v="5"/>
    <x v="5"/>
    <x v="70"/>
    <x v="43"/>
    <n v="26"/>
    <x v="199"/>
    <n v="2"/>
    <n v="8"/>
    <n v="10"/>
    <n v="2"/>
    <n v="0"/>
    <n v="0"/>
    <n v="2.2222222222222223E-2"/>
    <n v="8.8888888888888892E-2"/>
    <n v="0.1111111111111111"/>
    <n v="0.19494614076293837"/>
    <n v="0.13513513513513514"/>
    <x v="2"/>
  </r>
  <r>
    <x v="5"/>
    <x v="5"/>
    <x v="81"/>
    <x v="32"/>
    <n v="17"/>
    <x v="200"/>
    <n v="3"/>
    <n v="3"/>
    <n v="6"/>
    <n v="3"/>
    <n v="0"/>
    <n v="0"/>
    <n v="3.3333333333333333E-2"/>
    <n v="3.3333333333333333E-2"/>
    <n v="6.6666666666666666E-2"/>
    <n v="0.11913825220701385"/>
    <n v="8.1081081081081086E-2"/>
    <x v="2"/>
  </r>
  <r>
    <x v="5"/>
    <x v="5"/>
    <x v="32"/>
    <x v="39"/>
    <n v="3"/>
    <x v="201"/>
    <n v="1"/>
    <n v="0"/>
    <n v="1"/>
    <n v="1"/>
    <n v="0"/>
    <n v="0"/>
    <n v="1.1111111111111112E-2"/>
    <n v="0"/>
    <n v="1.1111111111111112E-2"/>
    <n v="3.2396533570907909E-2"/>
    <n v="1.3513513513513514E-2"/>
    <x v="2"/>
  </r>
  <r>
    <x v="6"/>
    <x v="0"/>
    <x v="64"/>
    <x v="8"/>
    <n v="42"/>
    <x v="202"/>
    <n v="13"/>
    <n v="5"/>
    <n v="18"/>
    <n v="13"/>
    <n v="0"/>
    <n v="0"/>
    <n v="0.14444444444444443"/>
    <n v="5.5555555555555552E-2"/>
    <n v="0.2"/>
    <n v="0.24684239428885227"/>
    <n v="0.13740458015267176"/>
    <x v="2"/>
  </r>
  <r>
    <x v="6"/>
    <x v="0"/>
    <x v="1"/>
    <x v="26"/>
    <n v="34"/>
    <x v="203"/>
    <n v="25"/>
    <n v="14"/>
    <n v="39"/>
    <n v="19"/>
    <n v="6"/>
    <n v="8"/>
    <n v="0.27777777777777779"/>
    <n v="0.15555555555555556"/>
    <n v="0.43333333333333335"/>
    <n v="0.2149231191652938"/>
    <n v="0.29770992366412213"/>
    <x v="4"/>
  </r>
  <r>
    <x v="6"/>
    <x v="0"/>
    <x v="71"/>
    <x v="50"/>
    <n v="33"/>
    <x v="204"/>
    <n v="18"/>
    <n v="13"/>
    <n v="31"/>
    <n v="17"/>
    <n v="1"/>
    <n v="2"/>
    <n v="0.2"/>
    <n v="0.14444444444444443"/>
    <n v="0.34444444444444444"/>
    <n v="0.20799011532125206"/>
    <n v="0.23664122137404581"/>
    <x v="2"/>
  </r>
  <r>
    <x v="6"/>
    <x v="0"/>
    <x v="72"/>
    <x v="15"/>
    <n v="32"/>
    <x v="205"/>
    <n v="16"/>
    <n v="6"/>
    <n v="22"/>
    <n v="16"/>
    <n v="0"/>
    <n v="0"/>
    <n v="0.17777777777777778"/>
    <n v="6.6666666666666666E-2"/>
    <n v="0.24444444444444444"/>
    <n v="0.20709774848984075"/>
    <n v="0.16793893129770993"/>
    <x v="2"/>
  </r>
  <r>
    <x v="6"/>
    <x v="0"/>
    <x v="54"/>
    <x v="38"/>
    <n v="19"/>
    <x v="206"/>
    <n v="15"/>
    <n v="4"/>
    <n v="19"/>
    <n v="15"/>
    <n v="0"/>
    <n v="0"/>
    <n v="0.16666666666666666"/>
    <n v="4.4444444444444446E-2"/>
    <n v="0.21111111111111111"/>
    <n v="0.11744920373421197"/>
    <n v="0.14503816793893129"/>
    <x v="2"/>
  </r>
  <r>
    <x v="6"/>
    <x v="0"/>
    <x v="82"/>
    <x v="12"/>
    <n v="0"/>
    <x v="207"/>
    <n v="2"/>
    <n v="0"/>
    <n v="2"/>
    <n v="2"/>
    <n v="0"/>
    <n v="0"/>
    <n v="2.2222222222222223E-2"/>
    <n v="0"/>
    <n v="2.2222222222222223E-2"/>
    <n v="5.6974190005491488E-3"/>
    <n v="1.5267175572519083E-2"/>
    <x v="2"/>
  </r>
  <r>
    <x v="6"/>
    <x v="1"/>
    <x v="65"/>
    <x v="22"/>
    <n v="46"/>
    <x v="208"/>
    <n v="20"/>
    <n v="14"/>
    <n v="34"/>
    <n v="14"/>
    <n v="6"/>
    <n v="6"/>
    <n v="0.22222222222222221"/>
    <n v="0.15555555555555556"/>
    <n v="0.37777777777777777"/>
    <n v="0.24224855054197125"/>
    <n v="0.30357142857142855"/>
    <x v="3"/>
  </r>
  <r>
    <x v="6"/>
    <x v="1"/>
    <x v="58"/>
    <x v="8"/>
    <n v="43"/>
    <x v="209"/>
    <n v="14"/>
    <n v="7"/>
    <n v="21"/>
    <n v="13"/>
    <n v="1"/>
    <n v="1"/>
    <n v="0.15555555555555556"/>
    <n v="7.7777777777777779E-2"/>
    <n v="0.23333333333333334"/>
    <n v="0.2405470128560625"/>
    <n v="0.1875"/>
    <x v="3"/>
  </r>
  <r>
    <x v="6"/>
    <x v="1"/>
    <x v="56"/>
    <x v="26"/>
    <n v="31"/>
    <x v="210"/>
    <n v="8"/>
    <n v="5"/>
    <n v="13"/>
    <n v="8"/>
    <n v="0"/>
    <n v="0"/>
    <n v="8.8888888888888892E-2"/>
    <n v="5.5555555555555552E-2"/>
    <n v="0.14444444444444443"/>
    <n v="0.16561633476178472"/>
    <n v="0.11607142857142858"/>
    <x v="2"/>
  </r>
  <r>
    <x v="6"/>
    <x v="1"/>
    <x v="74"/>
    <x v="13"/>
    <n v="25"/>
    <x v="211"/>
    <n v="17"/>
    <n v="2"/>
    <n v="19"/>
    <n v="17"/>
    <n v="0"/>
    <n v="0"/>
    <n v="0.18888888888888888"/>
    <n v="2.2222222222222223E-2"/>
    <n v="0.21111111111111111"/>
    <n v="0.14267708595916309"/>
    <n v="0.16964285714285715"/>
    <x v="2"/>
  </r>
  <r>
    <x v="6"/>
    <x v="1"/>
    <x v="19"/>
    <x v="29"/>
    <n v="21"/>
    <x v="212"/>
    <n v="8"/>
    <n v="8"/>
    <n v="16"/>
    <n v="8"/>
    <n v="0"/>
    <n v="0"/>
    <n v="8.8888888888888892E-2"/>
    <n v="8.8888888888888892E-2"/>
    <n v="0.17777777777777778"/>
    <n v="0.12017897655659188"/>
    <n v="0.14285714285714285"/>
    <x v="2"/>
  </r>
  <r>
    <x v="6"/>
    <x v="1"/>
    <x v="10"/>
    <x v="43"/>
    <n v="13"/>
    <x v="213"/>
    <n v="6"/>
    <n v="3"/>
    <n v="9"/>
    <n v="6"/>
    <n v="0"/>
    <n v="0"/>
    <n v="6.6666666666666666E-2"/>
    <n v="3.3333333333333333E-2"/>
    <n v="0.1"/>
    <n v="8.8732039324426512E-2"/>
    <n v="8.0357142857142863E-2"/>
    <x v="2"/>
  </r>
  <r>
    <x v="6"/>
    <x v="2"/>
    <x v="67"/>
    <x v="17"/>
    <n v="40"/>
    <x v="214"/>
    <n v="25"/>
    <n v="15"/>
    <n v="40"/>
    <n v="16"/>
    <n v="9"/>
    <n v="9"/>
    <n v="0.27777777777777779"/>
    <n v="0.16666666666666666"/>
    <n v="0.44444444444444442"/>
    <n v="0.32462653189015117"/>
    <n v="0.46511627906976744"/>
    <x v="3"/>
  </r>
  <r>
    <x v="6"/>
    <x v="2"/>
    <x v="83"/>
    <x v="26"/>
    <n v="39"/>
    <x v="215"/>
    <n v="17"/>
    <n v="6"/>
    <n v="23"/>
    <n v="17"/>
    <n v="0"/>
    <n v="0"/>
    <n v="0.18888888888888888"/>
    <n v="6.6666666666666666E-2"/>
    <n v="0.25555555555555554"/>
    <n v="0.31469720010734414"/>
    <n v="0.26744186046511625"/>
    <x v="2"/>
  </r>
  <r>
    <x v="6"/>
    <x v="2"/>
    <x v="16"/>
    <x v="42"/>
    <n v="31"/>
    <x v="216"/>
    <n v="10"/>
    <n v="8"/>
    <n v="18"/>
    <n v="10"/>
    <n v="0"/>
    <n v="1"/>
    <n v="0.1111111111111111"/>
    <n v="8.8888888888888892E-2"/>
    <n v="0.2"/>
    <n v="0.24608641202254228"/>
    <n v="0.20930232558139536"/>
    <x v="6"/>
  </r>
  <r>
    <x v="6"/>
    <x v="2"/>
    <x v="84"/>
    <x v="39"/>
    <n v="8"/>
    <x v="123"/>
    <n v="2"/>
    <n v="0"/>
    <n v="2"/>
    <n v="2"/>
    <n v="0"/>
    <n v="0"/>
    <n v="2.2222222222222223E-2"/>
    <n v="0"/>
    <n v="2.2222222222222223E-2"/>
    <n v="6.5122103944896675E-2"/>
    <n v="2.3255813953488372E-2"/>
    <x v="2"/>
  </r>
  <r>
    <x v="6"/>
    <x v="2"/>
    <x v="85"/>
    <x v="4"/>
    <n v="2"/>
    <x v="217"/>
    <n v="3"/>
    <n v="0"/>
    <n v="3"/>
    <n v="3"/>
    <n v="0"/>
    <n v="0"/>
    <n v="3.3333333333333333E-2"/>
    <n v="0"/>
    <n v="3.3333333333333333E-2"/>
    <n v="4.9467752035065746E-2"/>
    <n v="3.4883720930232558E-2"/>
    <x v="2"/>
  </r>
  <r>
    <x v="6"/>
    <x v="3"/>
    <x v="77"/>
    <x v="17"/>
    <n v="43"/>
    <x v="176"/>
    <n v="38"/>
    <n v="6"/>
    <n v="44"/>
    <n v="29"/>
    <n v="9"/>
    <n v="10"/>
    <n v="0.42222222222222222"/>
    <n v="6.6666666666666666E-2"/>
    <n v="0.48888888888888887"/>
    <n v="0.2774020955636472"/>
    <n v="0.43137254901960786"/>
    <x v="12"/>
  </r>
  <r>
    <x v="6"/>
    <x v="3"/>
    <x v="20"/>
    <x v="22"/>
    <n v="41"/>
    <x v="218"/>
    <n v="11"/>
    <n v="10"/>
    <n v="21"/>
    <n v="11"/>
    <n v="0"/>
    <n v="0"/>
    <n v="0.12222222222222222"/>
    <n v="0.1111111111111111"/>
    <n v="0.23333333333333334"/>
    <n v="0.27034257263877537"/>
    <n v="0.20588235294117646"/>
    <x v="2"/>
  </r>
  <r>
    <x v="6"/>
    <x v="3"/>
    <x v="78"/>
    <x v="0"/>
    <n v="38"/>
    <x v="79"/>
    <n v="17"/>
    <n v="11"/>
    <n v="28"/>
    <n v="15"/>
    <n v="2"/>
    <n v="2"/>
    <n v="0.18888888888888888"/>
    <n v="0.12222222222222222"/>
    <n v="0.31111111111111112"/>
    <n v="0.24946124693468083"/>
    <n v="0.27450980392156865"/>
    <x v="3"/>
  </r>
  <r>
    <x v="6"/>
    <x v="3"/>
    <x v="66"/>
    <x v="36"/>
    <n v="24"/>
    <x v="219"/>
    <n v="3"/>
    <n v="3"/>
    <n v="6"/>
    <n v="3"/>
    <n v="0"/>
    <n v="0"/>
    <n v="3.3333333333333333E-2"/>
    <n v="3.3333333333333333E-2"/>
    <n v="6.6666666666666666E-2"/>
    <n v="0.14371702459686408"/>
    <n v="5.8823529411764705E-2"/>
    <x v="2"/>
  </r>
  <r>
    <x v="6"/>
    <x v="3"/>
    <x v="86"/>
    <x v="25"/>
    <n v="7"/>
    <x v="220"/>
    <n v="2"/>
    <n v="1"/>
    <n v="3"/>
    <n v="2"/>
    <n v="0"/>
    <n v="0"/>
    <n v="2.2222222222222223E-2"/>
    <n v="1.1111111111111112E-2"/>
    <n v="3.3333333333333333E-2"/>
    <n v="5.9077060266032551E-2"/>
    <n v="2.9411764705882353E-2"/>
    <x v="2"/>
  </r>
  <r>
    <x v="6"/>
    <x v="4"/>
    <x v="80"/>
    <x v="1"/>
    <n v="41"/>
    <x v="221"/>
    <n v="10"/>
    <n v="5"/>
    <n v="15"/>
    <n v="10"/>
    <n v="0"/>
    <n v="0"/>
    <n v="0.1111111111111111"/>
    <n v="5.5555555555555552E-2"/>
    <n v="0.16666666666666666"/>
    <n v="0.29125419291499632"/>
    <n v="0.27777777777777779"/>
    <x v="2"/>
  </r>
  <r>
    <x v="6"/>
    <x v="4"/>
    <x v="87"/>
    <x v="42"/>
    <n v="35"/>
    <x v="222"/>
    <n v="16"/>
    <n v="2"/>
    <n v="18"/>
    <n v="16"/>
    <n v="0"/>
    <n v="0"/>
    <n v="0.17777777777777778"/>
    <n v="2.2222222222222223E-2"/>
    <n v="0.2"/>
    <n v="0.25132946085249119"/>
    <n v="0.33333333333333331"/>
    <x v="2"/>
  </r>
  <r>
    <x v="6"/>
    <x v="4"/>
    <x v="22"/>
    <x v="42"/>
    <n v="35"/>
    <x v="223"/>
    <n v="8"/>
    <n v="5"/>
    <n v="13"/>
    <n v="6"/>
    <n v="2"/>
    <n v="2"/>
    <n v="8.8888888888888892E-2"/>
    <n v="5.5555555555555552E-2"/>
    <n v="0.14444444444444443"/>
    <n v="0.24920232348850527"/>
    <n v="0.24074074074074073"/>
    <x v="3"/>
  </r>
  <r>
    <x v="6"/>
    <x v="4"/>
    <x v="25"/>
    <x v="39"/>
    <n v="7"/>
    <x v="224"/>
    <n v="2"/>
    <n v="1"/>
    <n v="3"/>
    <n v="2"/>
    <n v="0"/>
    <n v="0"/>
    <n v="2.2222222222222223E-2"/>
    <n v="1.1111111111111112E-2"/>
    <n v="3.3333333333333333E-2"/>
    <n v="5.1951239466579396E-2"/>
    <n v="5.5555555555555552E-2"/>
    <x v="2"/>
  </r>
  <r>
    <x v="6"/>
    <x v="4"/>
    <x v="88"/>
    <x v="28"/>
    <n v="21"/>
    <x v="225"/>
    <n v="3"/>
    <n v="2"/>
    <n v="5"/>
    <n v="3"/>
    <n v="0"/>
    <n v="0"/>
    <n v="3.3333333333333333E-2"/>
    <n v="2.2222222222222223E-2"/>
    <n v="5.5555555555555552E-2"/>
    <n v="0.15626278327742779"/>
    <n v="9.2592592592592587E-2"/>
    <x v="2"/>
  </r>
  <r>
    <x v="6"/>
    <x v="5"/>
    <x v="30"/>
    <x v="29"/>
    <n v="34"/>
    <x v="226"/>
    <n v="17"/>
    <n v="10"/>
    <n v="27"/>
    <n v="15"/>
    <n v="2"/>
    <n v="2"/>
    <n v="0.18888888888888888"/>
    <n v="0.1111111111111111"/>
    <n v="0.3"/>
    <n v="0.27512446985063616"/>
    <n v="0.36486486486486486"/>
    <x v="3"/>
  </r>
  <r>
    <x v="6"/>
    <x v="5"/>
    <x v="70"/>
    <x v="5"/>
    <n v="33"/>
    <x v="227"/>
    <n v="8"/>
    <n v="3"/>
    <n v="11"/>
    <n v="8"/>
    <n v="0"/>
    <n v="0"/>
    <n v="8.8888888888888892E-2"/>
    <n v="3.3333333333333333E-2"/>
    <n v="0.12222222222222222"/>
    <n v="0.27576986907615708"/>
    <n v="0.14864864864864866"/>
    <x v="2"/>
  </r>
  <r>
    <x v="6"/>
    <x v="5"/>
    <x v="89"/>
    <x v="36"/>
    <n v="25"/>
    <x v="228"/>
    <n v="5"/>
    <n v="10"/>
    <n v="15"/>
    <n v="5"/>
    <n v="0"/>
    <n v="0"/>
    <n v="5.5555555555555552E-2"/>
    <n v="0.1111111111111111"/>
    <n v="0.16666666666666666"/>
    <n v="0.20634335238797713"/>
    <n v="0.20270270270270271"/>
    <x v="2"/>
  </r>
  <r>
    <x v="6"/>
    <x v="5"/>
    <x v="81"/>
    <x v="19"/>
    <n v="21"/>
    <x v="229"/>
    <n v="12"/>
    <n v="4"/>
    <n v="16"/>
    <n v="12"/>
    <n v="0"/>
    <n v="0"/>
    <n v="0.13333333333333333"/>
    <n v="4.4444444444444446E-2"/>
    <n v="0.17777777777777778"/>
    <n v="0.15987460815047022"/>
    <n v="0.21621621621621623"/>
    <x v="2"/>
  </r>
  <r>
    <x v="6"/>
    <x v="5"/>
    <x v="57"/>
    <x v="4"/>
    <n v="11"/>
    <x v="230"/>
    <n v="2"/>
    <n v="3"/>
    <n v="5"/>
    <n v="2"/>
    <n v="0"/>
    <n v="0"/>
    <n v="2.2222222222222223E-2"/>
    <n v="3.3333333333333333E-2"/>
    <n v="5.5555555555555552E-2"/>
    <n v="8.2887700534759357E-2"/>
    <n v="6.7567567567567571E-2"/>
    <x v="2"/>
  </r>
  <r>
    <x v="7"/>
    <x v="0"/>
    <x v="1"/>
    <x v="0"/>
    <n v="50"/>
    <x v="231"/>
    <n v="34"/>
    <n v="23"/>
    <n v="57"/>
    <n v="23"/>
    <n v="11"/>
    <n v="12"/>
    <n v="0.37777777777777777"/>
    <n v="0.25555555555555554"/>
    <n v="0.6333333333333333"/>
    <n v="0.29975298751585555"/>
    <n v="0.4351145038167939"/>
    <x v="13"/>
  </r>
  <r>
    <x v="7"/>
    <x v="0"/>
    <x v="64"/>
    <x v="1"/>
    <n v="38"/>
    <x v="232"/>
    <n v="17"/>
    <n v="5"/>
    <n v="22"/>
    <n v="17"/>
    <n v="0"/>
    <n v="0"/>
    <n v="0.18888888888888888"/>
    <n v="5.5555555555555552E-2"/>
    <n v="0.24444444444444444"/>
    <n v="0.22184391481407303"/>
    <n v="0.16793893129770993"/>
    <x v="2"/>
  </r>
  <r>
    <x v="7"/>
    <x v="0"/>
    <x v="72"/>
    <x v="14"/>
    <n v="32"/>
    <x v="233"/>
    <n v="18"/>
    <n v="6"/>
    <n v="24"/>
    <n v="17"/>
    <n v="1"/>
    <n v="1"/>
    <n v="0.2"/>
    <n v="6.6666666666666666E-2"/>
    <n v="0.26666666666666666"/>
    <n v="0.1795847519861139"/>
    <n v="0.18320610687022901"/>
    <x v="3"/>
  </r>
  <r>
    <x v="7"/>
    <x v="0"/>
    <x v="71"/>
    <x v="22"/>
    <n v="17"/>
    <x v="234"/>
    <n v="7"/>
    <n v="5"/>
    <n v="12"/>
    <n v="7"/>
    <n v="0"/>
    <n v="0"/>
    <n v="7.7777777777777779E-2"/>
    <n v="5.5555555555555552E-2"/>
    <n v="0.13333333333333333"/>
    <n v="0.13739234928900459"/>
    <n v="9.1603053435114504E-2"/>
    <x v="2"/>
  </r>
  <r>
    <x v="7"/>
    <x v="0"/>
    <x v="54"/>
    <x v="43"/>
    <n v="22"/>
    <x v="235"/>
    <n v="9"/>
    <n v="3"/>
    <n v="12"/>
    <n v="9"/>
    <n v="0"/>
    <n v="0"/>
    <n v="0.1"/>
    <n v="3.3333333333333333E-2"/>
    <n v="0.13333333333333333"/>
    <n v="0.12223779958608719"/>
    <n v="9.1603053435114504E-2"/>
    <x v="2"/>
  </r>
  <r>
    <x v="7"/>
    <x v="0"/>
    <x v="90"/>
    <x v="4"/>
    <n v="4"/>
    <x v="236"/>
    <n v="2"/>
    <n v="1"/>
    <n v="3"/>
    <n v="2"/>
    <n v="0"/>
    <n v="0"/>
    <n v="2.2222222222222223E-2"/>
    <n v="1.1111111111111112E-2"/>
    <n v="3.3333333333333333E-2"/>
    <n v="3.1377261499432541E-2"/>
    <n v="2.2900763358778626E-2"/>
    <x v="2"/>
  </r>
  <r>
    <x v="7"/>
    <x v="0"/>
    <x v="82"/>
    <x v="27"/>
    <n v="1"/>
    <x v="237"/>
    <n v="1"/>
    <n v="0"/>
    <n v="1"/>
    <n v="1"/>
    <n v="0"/>
    <n v="0"/>
    <n v="1.1111111111111112E-2"/>
    <n v="0"/>
    <n v="1.1111111111111112E-2"/>
    <n v="7.8109353094332062E-3"/>
    <n v="7.6335877862595417E-3"/>
    <x v="2"/>
  </r>
  <r>
    <x v="7"/>
    <x v="1"/>
    <x v="56"/>
    <x v="8"/>
    <n v="40"/>
    <x v="238"/>
    <n v="10"/>
    <n v="5"/>
    <n v="15"/>
    <n v="10"/>
    <n v="0"/>
    <n v="0"/>
    <n v="0.1111111111111111"/>
    <n v="5.5555555555555552E-2"/>
    <n v="0.16666666666666666"/>
    <n v="0.18885284263149496"/>
    <n v="0.1271186440677966"/>
    <x v="2"/>
  </r>
  <r>
    <x v="7"/>
    <x v="1"/>
    <x v="74"/>
    <x v="24"/>
    <n v="37"/>
    <x v="239"/>
    <n v="10"/>
    <n v="9"/>
    <n v="19"/>
    <n v="10"/>
    <n v="0"/>
    <n v="1"/>
    <n v="0.1111111111111111"/>
    <n v="0.1"/>
    <n v="0.21111111111111111"/>
    <n v="0.18358772536297399"/>
    <n v="0.16101694915254236"/>
    <x v="6"/>
  </r>
  <r>
    <x v="7"/>
    <x v="1"/>
    <x v="58"/>
    <x v="29"/>
    <n v="30"/>
    <x v="240"/>
    <n v="15"/>
    <n v="4"/>
    <n v="19"/>
    <n v="15"/>
    <n v="0"/>
    <n v="0"/>
    <n v="0.16666666666666666"/>
    <n v="4.4444444444444446E-2"/>
    <n v="0.21111111111111111"/>
    <n v="0.14944423762165612"/>
    <n v="0.16101694915254236"/>
    <x v="2"/>
  </r>
  <r>
    <x v="7"/>
    <x v="1"/>
    <x v="91"/>
    <x v="26"/>
    <n v="29"/>
    <x v="241"/>
    <n v="9"/>
    <n v="5"/>
    <n v="14"/>
    <n v="9"/>
    <n v="0"/>
    <n v="0"/>
    <n v="0.1"/>
    <n v="5.5555555555555552E-2"/>
    <n v="0.15555555555555556"/>
    <n v="0.1404031271605595"/>
    <n v="0.11864406779661017"/>
    <x v="2"/>
  </r>
  <r>
    <x v="7"/>
    <x v="1"/>
    <x v="65"/>
    <x v="43"/>
    <n v="30"/>
    <x v="242"/>
    <n v="12"/>
    <n v="13"/>
    <n v="25"/>
    <n v="10"/>
    <n v="2"/>
    <n v="3"/>
    <n v="0.13333333333333333"/>
    <n v="0.14444444444444443"/>
    <n v="0.27777777777777779"/>
    <n v="0.13875445407647716"/>
    <n v="0.21186440677966101"/>
    <x v="7"/>
  </r>
  <r>
    <x v="7"/>
    <x v="1"/>
    <x v="92"/>
    <x v="43"/>
    <n v="16"/>
    <x v="243"/>
    <n v="9"/>
    <n v="2"/>
    <n v="11"/>
    <n v="9"/>
    <n v="0"/>
    <n v="0"/>
    <n v="0.1"/>
    <n v="2.2222222222222223E-2"/>
    <n v="0.12222222222222222"/>
    <n v="7.3764824762006062E-2"/>
    <n v="9.3220338983050849E-2"/>
    <x v="2"/>
  </r>
  <r>
    <x v="7"/>
    <x v="1"/>
    <x v="19"/>
    <x v="47"/>
    <n v="13"/>
    <x v="244"/>
    <n v="7"/>
    <n v="2"/>
    <n v="9"/>
    <n v="7"/>
    <n v="0"/>
    <n v="0"/>
    <n v="7.7777777777777779E-2"/>
    <n v="2.2222222222222223E-2"/>
    <n v="0.1"/>
    <n v="6.4191884273786096E-2"/>
    <n v="7.6271186440677971E-2"/>
    <x v="2"/>
  </r>
  <r>
    <x v="7"/>
    <x v="1"/>
    <x v="16"/>
    <x v="49"/>
    <n v="13"/>
    <x v="8"/>
    <n v="1"/>
    <n v="5"/>
    <n v="6"/>
    <n v="1"/>
    <n v="0"/>
    <n v="1"/>
    <n v="1.1111111111111112E-2"/>
    <n v="5.5555555555555552E-2"/>
    <n v="6.6666666666666666E-2"/>
    <n v="6.1000904111046111E-2"/>
    <n v="5.0847457627118647E-2"/>
    <x v="6"/>
  </r>
  <r>
    <x v="7"/>
    <x v="2"/>
    <x v="67"/>
    <x v="26"/>
    <n v="41"/>
    <x v="245"/>
    <n v="15"/>
    <n v="11"/>
    <n v="26"/>
    <n v="11"/>
    <n v="4"/>
    <n v="5"/>
    <n v="0.16666666666666666"/>
    <n v="0.12222222222222222"/>
    <n v="0.28888888888888886"/>
    <n v="0.2962630548302872"/>
    <n v="0.30232558139534882"/>
    <x v="8"/>
  </r>
  <r>
    <x v="7"/>
    <x v="2"/>
    <x v="93"/>
    <x v="26"/>
    <n v="32"/>
    <x v="246"/>
    <n v="6"/>
    <n v="6"/>
    <n v="12"/>
    <n v="6"/>
    <n v="0"/>
    <n v="0"/>
    <n v="6.6666666666666666E-2"/>
    <n v="6.6666666666666666E-2"/>
    <n v="0.13333333333333333"/>
    <n v="0.22764360313315926"/>
    <n v="0.13953488372093023"/>
    <x v="2"/>
  </r>
  <r>
    <x v="7"/>
    <x v="2"/>
    <x v="83"/>
    <x v="31"/>
    <n v="30"/>
    <x v="247"/>
    <n v="13"/>
    <n v="5"/>
    <n v="18"/>
    <n v="13"/>
    <n v="0"/>
    <n v="0"/>
    <n v="0.14444444444444443"/>
    <n v="5.5555555555555552E-2"/>
    <n v="0.2"/>
    <n v="0.19492493472584857"/>
    <n v="0.20930232558139536"/>
    <x v="2"/>
  </r>
  <r>
    <x v="7"/>
    <x v="2"/>
    <x v="85"/>
    <x v="16"/>
    <n v="20"/>
    <x v="248"/>
    <n v="12"/>
    <n v="5"/>
    <n v="17"/>
    <n v="10"/>
    <n v="2"/>
    <n v="4"/>
    <n v="0.13333333333333333"/>
    <n v="5.5555555555555552E-2"/>
    <n v="0.18888888888888888"/>
    <n v="0.15494451697127937"/>
    <n v="0.19767441860465115"/>
    <x v="1"/>
  </r>
  <r>
    <x v="7"/>
    <x v="2"/>
    <x v="94"/>
    <x v="37"/>
    <n v="10"/>
    <x v="249"/>
    <n v="2"/>
    <n v="5"/>
    <n v="7"/>
    <n v="2"/>
    <n v="0"/>
    <n v="0"/>
    <n v="2.2222222222222223E-2"/>
    <n v="5.5555555555555552E-2"/>
    <n v="7.7777777777777779E-2"/>
    <n v="8.8364882506527409E-2"/>
    <n v="8.1395348837209308E-2"/>
    <x v="2"/>
  </r>
  <r>
    <x v="7"/>
    <x v="2"/>
    <x v="95"/>
    <x v="34"/>
    <n v="5"/>
    <x v="250"/>
    <n v="6"/>
    <n v="0"/>
    <n v="6"/>
    <n v="6"/>
    <n v="0"/>
    <n v="0"/>
    <n v="6.6666666666666666E-2"/>
    <n v="0"/>
    <n v="6.6666666666666666E-2"/>
    <n v="3.7859007832898174E-2"/>
    <n v="6.9767441860465115E-2"/>
    <x v="2"/>
  </r>
  <r>
    <x v="7"/>
    <x v="3"/>
    <x v="77"/>
    <x v="26"/>
    <n v="43"/>
    <x v="251"/>
    <n v="31"/>
    <n v="4"/>
    <n v="35"/>
    <n v="26"/>
    <n v="5"/>
    <n v="8"/>
    <n v="0.34444444444444444"/>
    <n v="4.4444444444444446E-2"/>
    <n v="0.3888888888888889"/>
    <n v="0.30295981390871901"/>
    <n v="0.44303797468354428"/>
    <x v="14"/>
  </r>
  <r>
    <x v="7"/>
    <x v="3"/>
    <x v="50"/>
    <x v="17"/>
    <n v="31"/>
    <x v="252"/>
    <n v="10"/>
    <n v="5"/>
    <n v="15"/>
    <n v="10"/>
    <n v="0"/>
    <n v="0"/>
    <n v="0.1111111111111111"/>
    <n v="5.5555555555555552E-2"/>
    <n v="0.16666666666666666"/>
    <n v="0.22788160744365124"/>
    <n v="0.189873417721519"/>
    <x v="2"/>
  </r>
  <r>
    <x v="7"/>
    <x v="3"/>
    <x v="96"/>
    <x v="17"/>
    <n v="33"/>
    <x v="253"/>
    <n v="2"/>
    <n v="10"/>
    <n v="12"/>
    <n v="2"/>
    <n v="0"/>
    <n v="0"/>
    <n v="2.2222222222222223E-2"/>
    <n v="0.1111111111111111"/>
    <n v="0.13333333333333333"/>
    <n v="0.22266784310579932"/>
    <n v="0.15189873417721519"/>
    <x v="2"/>
  </r>
  <r>
    <x v="7"/>
    <x v="3"/>
    <x v="97"/>
    <x v="30"/>
    <n v="18"/>
    <x v="254"/>
    <n v="8"/>
    <n v="1"/>
    <n v="9"/>
    <n v="8"/>
    <n v="0"/>
    <n v="0"/>
    <n v="8.8888888888888892E-2"/>
    <n v="1.1111111111111112E-2"/>
    <n v="0.1"/>
    <n v="0.12408759124087591"/>
    <n v="0.11392405063291139"/>
    <x v="2"/>
  </r>
  <r>
    <x v="7"/>
    <x v="3"/>
    <x v="66"/>
    <x v="38"/>
    <n v="16"/>
    <x v="255"/>
    <n v="3"/>
    <n v="5"/>
    <n v="8"/>
    <n v="2"/>
    <n v="1"/>
    <n v="1"/>
    <n v="3.3333333333333333E-2"/>
    <n v="5.5555555555555552E-2"/>
    <n v="8.8888888888888892E-2"/>
    <n v="0.12240314430095452"/>
    <n v="0.10126582278481013"/>
    <x v="3"/>
  </r>
  <r>
    <x v="7"/>
    <x v="4"/>
    <x v="80"/>
    <x v="51"/>
    <n v="36"/>
    <x v="256"/>
    <n v="11"/>
    <n v="10"/>
    <n v="21"/>
    <n v="11"/>
    <n v="0"/>
    <n v="0"/>
    <n v="0.12222222222222222"/>
    <n v="0.1111111111111111"/>
    <n v="0.23333333333333334"/>
    <n v="0.2774238657551274"/>
    <n v="0.328125"/>
    <x v="2"/>
  </r>
  <r>
    <x v="7"/>
    <x v="4"/>
    <x v="87"/>
    <x v="0"/>
    <n v="38"/>
    <x v="257"/>
    <n v="10"/>
    <n v="2"/>
    <n v="12"/>
    <n v="10"/>
    <n v="0"/>
    <n v="0"/>
    <n v="0.1111111111111111"/>
    <n v="2.2222222222222223E-2"/>
    <n v="0.13333333333333333"/>
    <n v="0.25706960845245497"/>
    <n v="0.1875"/>
    <x v="2"/>
  </r>
  <r>
    <x v="7"/>
    <x v="4"/>
    <x v="98"/>
    <x v="42"/>
    <n v="28"/>
    <x v="154"/>
    <n v="11"/>
    <n v="8"/>
    <n v="19"/>
    <n v="11"/>
    <n v="0"/>
    <n v="0"/>
    <n v="0.12222222222222222"/>
    <n v="8.8888888888888892E-2"/>
    <n v="0.21111111111111111"/>
    <n v="0.2141858297078931"/>
    <n v="0.296875"/>
    <x v="2"/>
  </r>
  <r>
    <x v="7"/>
    <x v="4"/>
    <x v="99"/>
    <x v="14"/>
    <n v="22"/>
    <x v="258"/>
    <n v="7"/>
    <n v="2"/>
    <n v="9"/>
    <n v="7"/>
    <n v="0"/>
    <n v="0"/>
    <n v="7.7777777777777779E-2"/>
    <n v="2.2222222222222223E-2"/>
    <n v="0.1"/>
    <n v="0.17604101926662524"/>
    <n v="0.140625"/>
    <x v="2"/>
  </r>
  <r>
    <x v="7"/>
    <x v="4"/>
    <x v="100"/>
    <x v="47"/>
    <n v="11"/>
    <x v="259"/>
    <n v="3"/>
    <n v="0"/>
    <n v="3"/>
    <n v="3"/>
    <n v="0"/>
    <n v="0"/>
    <n v="3.3333333333333333E-2"/>
    <n v="0"/>
    <n v="3.3333333333333333E-2"/>
    <n v="7.5279676817899321E-2"/>
    <n v="4.6875E-2"/>
    <x v="2"/>
  </r>
  <r>
    <x v="7"/>
    <x v="5"/>
    <x v="70"/>
    <x v="38"/>
    <n v="27"/>
    <x v="247"/>
    <n v="7"/>
    <n v="4"/>
    <n v="11"/>
    <n v="7"/>
    <n v="0"/>
    <n v="0"/>
    <n v="7.7777777777777779E-2"/>
    <n v="4.4444444444444446E-2"/>
    <n v="0.12222222222222222"/>
    <n v="0.25433833705951242"/>
    <n v="0.19642857142857142"/>
    <x v="2"/>
  </r>
  <r>
    <x v="7"/>
    <x v="5"/>
    <x v="3"/>
    <x v="47"/>
    <n v="25"/>
    <x v="260"/>
    <n v="9"/>
    <n v="3"/>
    <n v="12"/>
    <n v="8"/>
    <n v="1"/>
    <n v="1"/>
    <n v="0.1"/>
    <n v="3.3333333333333333E-2"/>
    <n v="0.13333333333333333"/>
    <n v="0.23432343234323433"/>
    <n v="0.21428571428571427"/>
    <x v="3"/>
  </r>
  <r>
    <x v="7"/>
    <x v="5"/>
    <x v="89"/>
    <x v="31"/>
    <n v="24"/>
    <x v="261"/>
    <n v="11"/>
    <n v="3"/>
    <n v="14"/>
    <n v="11"/>
    <n v="0"/>
    <n v="0"/>
    <n v="0.12222222222222222"/>
    <n v="3.3333333333333333E-2"/>
    <n v="0.15555555555555556"/>
    <n v="0.231768338124135"/>
    <n v="0.25"/>
    <x v="2"/>
  </r>
  <r>
    <x v="7"/>
    <x v="5"/>
    <x v="30"/>
    <x v="41"/>
    <n v="24"/>
    <x v="122"/>
    <n v="7"/>
    <n v="9"/>
    <n v="16"/>
    <n v="6"/>
    <n v="1"/>
    <n v="2"/>
    <n v="7.7777777777777779E-2"/>
    <n v="0.1"/>
    <n v="0.17777777777777778"/>
    <n v="0.22463536676248269"/>
    <n v="0.2857142857142857"/>
    <x v="1"/>
  </r>
  <r>
    <x v="7"/>
    <x v="5"/>
    <x v="57"/>
    <x v="11"/>
    <n v="4"/>
    <x v="262"/>
    <n v="0"/>
    <n v="3"/>
    <n v="3"/>
    <n v="0"/>
    <n v="0"/>
    <n v="0"/>
    <n v="0"/>
    <n v="3.3333333333333333E-2"/>
    <n v="3.3333333333333333E-2"/>
    <n v="5.4934525710635583E-2"/>
    <n v="5.3571428571428568E-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DF10E-6187-4441-A81D-6D339768968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06" firstHeaderRow="1" firstDataRow="2" firstDataCol="1"/>
  <pivotFields count="18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 sortType="ascending">
      <items count="7">
        <item x="1"/>
        <item x="2"/>
        <item x="0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ascending">
      <items count="102">
        <item x="43"/>
        <item x="80"/>
        <item x="34"/>
        <item x="6"/>
        <item x="26"/>
        <item x="12"/>
        <item x="98"/>
        <item x="41"/>
        <item x="69"/>
        <item x="25"/>
        <item x="88"/>
        <item x="84"/>
        <item x="20"/>
        <item x="40"/>
        <item x="89"/>
        <item x="65"/>
        <item x="38"/>
        <item x="49"/>
        <item x="85"/>
        <item x="72"/>
        <item x="67"/>
        <item x="75"/>
        <item x="68"/>
        <item x="44"/>
        <item x="51"/>
        <item x="4"/>
        <item x="5"/>
        <item x="71"/>
        <item x="70"/>
        <item x="29"/>
        <item x="54"/>
        <item x="33"/>
        <item x="3"/>
        <item x="10"/>
        <item x="11"/>
        <item x="61"/>
        <item x="42"/>
        <item x="77"/>
        <item x="92"/>
        <item x="73"/>
        <item x="90"/>
        <item x="31"/>
        <item x="60"/>
        <item x="19"/>
        <item x="56"/>
        <item x="62"/>
        <item x="37"/>
        <item x="59"/>
        <item x="28"/>
        <item x="35"/>
        <item x="66"/>
        <item x="82"/>
        <item x="24"/>
        <item x="76"/>
        <item x="99"/>
        <item x="23"/>
        <item x="78"/>
        <item x="58"/>
        <item x="15"/>
        <item x="74"/>
        <item x="17"/>
        <item x="32"/>
        <item x="64"/>
        <item x="95"/>
        <item x="22"/>
        <item x="52"/>
        <item x="100"/>
        <item x="14"/>
        <item x="91"/>
        <item x="1"/>
        <item x="83"/>
        <item x="46"/>
        <item x="53"/>
        <item x="7"/>
        <item x="97"/>
        <item x="86"/>
        <item x="13"/>
        <item x="93"/>
        <item x="50"/>
        <item x="8"/>
        <item x="16"/>
        <item x="87"/>
        <item x="47"/>
        <item x="81"/>
        <item x="39"/>
        <item x="0"/>
        <item x="21"/>
        <item x="2"/>
        <item x="96"/>
        <item x="18"/>
        <item x="30"/>
        <item x="63"/>
        <item x="55"/>
        <item x="48"/>
        <item x="9"/>
        <item x="57"/>
        <item x="94"/>
        <item x="36"/>
        <item x="79"/>
        <item x="45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3">
        <item x="27"/>
        <item x="12"/>
        <item x="18"/>
        <item x="23"/>
        <item x="7"/>
        <item x="20"/>
        <item x="34"/>
        <item x="4"/>
        <item x="48"/>
        <item x="6"/>
        <item x="35"/>
        <item x="11"/>
        <item x="39"/>
        <item x="33"/>
        <item x="21"/>
        <item x="30"/>
        <item x="37"/>
        <item x="25"/>
        <item x="10"/>
        <item x="3"/>
        <item x="47"/>
        <item x="49"/>
        <item x="44"/>
        <item x="41"/>
        <item x="19"/>
        <item x="38"/>
        <item x="31"/>
        <item x="36"/>
        <item x="32"/>
        <item x="29"/>
        <item x="43"/>
        <item x="28"/>
        <item x="5"/>
        <item x="16"/>
        <item x="40"/>
        <item x="2"/>
        <item x="42"/>
        <item x="26"/>
        <item x="17"/>
        <item x="13"/>
        <item x="22"/>
        <item x="9"/>
        <item x="14"/>
        <item x="1"/>
        <item x="8"/>
        <item x="0"/>
        <item x="15"/>
        <item x="50"/>
        <item x="46"/>
        <item x="24"/>
        <item x="45"/>
        <item x="51"/>
        <item t="default"/>
      </items>
    </pivotField>
    <pivotField showAll="0"/>
    <pivotField showAll="0">
      <items count="264">
        <item x="207"/>
        <item x="237"/>
        <item x="10"/>
        <item x="28"/>
        <item x="56"/>
        <item x="73"/>
        <item x="42"/>
        <item x="5"/>
        <item x="201"/>
        <item x="157"/>
        <item x="16"/>
        <item x="33"/>
        <item x="250"/>
        <item x="236"/>
        <item x="4"/>
        <item x="262"/>
        <item x="156"/>
        <item x="105"/>
        <item x="217"/>
        <item x="181"/>
        <item x="140"/>
        <item x="95"/>
        <item x="72"/>
        <item x="224"/>
        <item x="175"/>
        <item x="84"/>
        <item x="35"/>
        <item x="123"/>
        <item x="3"/>
        <item x="104"/>
        <item x="220"/>
        <item x="111"/>
        <item x="71"/>
        <item x="78"/>
        <item x="168"/>
        <item x="230"/>
        <item x="61"/>
        <item x="162"/>
        <item x="9"/>
        <item x="15"/>
        <item x="186"/>
        <item x="259"/>
        <item x="32"/>
        <item x="139"/>
        <item x="167"/>
        <item x="77"/>
        <item x="196"/>
        <item x="180"/>
        <item x="14"/>
        <item x="249"/>
        <item x="145"/>
        <item x="8"/>
        <item x="49"/>
        <item x="185"/>
        <item x="244"/>
        <item x="118"/>
        <item x="195"/>
        <item x="110"/>
        <item x="144"/>
        <item x="7"/>
        <item x="83"/>
        <item x="66"/>
        <item x="48"/>
        <item x="134"/>
        <item x="174"/>
        <item x="70"/>
        <item x="243"/>
        <item x="166"/>
        <item x="173"/>
        <item x="82"/>
        <item x="213"/>
        <item x="194"/>
        <item x="161"/>
        <item x="200"/>
        <item x="81"/>
        <item x="47"/>
        <item x="128"/>
        <item x="255"/>
        <item x="27"/>
        <item x="117"/>
        <item x="254"/>
        <item x="133"/>
        <item x="65"/>
        <item x="160"/>
        <item x="132"/>
        <item x="193"/>
        <item x="138"/>
        <item x="159"/>
        <item x="206"/>
        <item x="229"/>
        <item x="172"/>
        <item x="103"/>
        <item x="90"/>
        <item x="150"/>
        <item x="137"/>
        <item x="235"/>
        <item x="171"/>
        <item x="116"/>
        <item x="179"/>
        <item x="109"/>
        <item x="115"/>
        <item x="248"/>
        <item x="212"/>
        <item x="225"/>
        <item x="219"/>
        <item x="184"/>
        <item x="234"/>
        <item x="89"/>
        <item x="143"/>
        <item x="122"/>
        <item x="149"/>
        <item x="261"/>
        <item x="60"/>
        <item x="127"/>
        <item x="260"/>
        <item x="46"/>
        <item x="228"/>
        <item x="211"/>
        <item x="258"/>
        <item x="55"/>
        <item x="142"/>
        <item x="178"/>
        <item x="26"/>
        <item x="165"/>
        <item x="59"/>
        <item x="247"/>
        <item x="148"/>
        <item x="170"/>
        <item x="199"/>
        <item x="126"/>
        <item x="131"/>
        <item x="108"/>
        <item x="114"/>
        <item x="13"/>
        <item x="113"/>
        <item x="41"/>
        <item x="183"/>
        <item x="191"/>
        <item x="76"/>
        <item x="54"/>
        <item x="147"/>
        <item x="20"/>
        <item x="155"/>
        <item x="242"/>
        <item x="210"/>
        <item x="94"/>
        <item x="241"/>
        <item x="25"/>
        <item x="24"/>
        <item x="23"/>
        <item x="233"/>
        <item x="53"/>
        <item x="75"/>
        <item x="6"/>
        <item x="216"/>
        <item x="154"/>
        <item x="253"/>
        <item x="246"/>
        <item x="99"/>
        <item x="12"/>
        <item x="21"/>
        <item x="240"/>
        <item x="40"/>
        <item x="252"/>
        <item x="19"/>
        <item x="107"/>
        <item x="80"/>
        <item x="226"/>
        <item x="227"/>
        <item x="205"/>
        <item x="93"/>
        <item x="204"/>
        <item x="146"/>
        <item x="58"/>
        <item x="98"/>
        <item x="106"/>
        <item x="223"/>
        <item x="190"/>
        <item x="222"/>
        <item x="45"/>
        <item x="153"/>
        <item x="203"/>
        <item x="125"/>
        <item x="88"/>
        <item x="97"/>
        <item x="158"/>
        <item x="64"/>
        <item x="96"/>
        <item x="152"/>
        <item x="182"/>
        <item x="57"/>
        <item x="2"/>
        <item x="63"/>
        <item x="257"/>
        <item x="87"/>
        <item x="232"/>
        <item x="39"/>
        <item x="86"/>
        <item x="62"/>
        <item x="141"/>
        <item x="52"/>
        <item x="37"/>
        <item x="79"/>
        <item x="102"/>
        <item x="31"/>
        <item x="121"/>
        <item x="177"/>
        <item x="120"/>
        <item x="239"/>
        <item x="92"/>
        <item x="189"/>
        <item x="215"/>
        <item x="164"/>
        <item x="44"/>
        <item x="238"/>
        <item x="91"/>
        <item x="221"/>
        <item x="17"/>
        <item x="136"/>
        <item x="69"/>
        <item x="256"/>
        <item x="202"/>
        <item x="188"/>
        <item x="18"/>
        <item x="214"/>
        <item x="245"/>
        <item x="218"/>
        <item x="119"/>
        <item x="11"/>
        <item x="74"/>
        <item x="176"/>
        <item x="101"/>
        <item x="198"/>
        <item x="30"/>
        <item x="251"/>
        <item x="130"/>
        <item x="68"/>
        <item x="129"/>
        <item x="209"/>
        <item x="112"/>
        <item x="208"/>
        <item x="38"/>
        <item x="67"/>
        <item x="43"/>
        <item x="1"/>
        <item x="151"/>
        <item x="29"/>
        <item x="0"/>
        <item x="135"/>
        <item x="85"/>
        <item x="51"/>
        <item x="22"/>
        <item x="187"/>
        <item x="50"/>
        <item x="124"/>
        <item x="100"/>
        <item x="163"/>
        <item x="192"/>
        <item x="169"/>
        <item x="36"/>
        <item x="197"/>
        <item x="34"/>
        <item x="231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showAll="0"/>
    <pivotField showAll="0"/>
  </pivotFields>
  <rowFields count="1">
    <field x="2"/>
  </rowFields>
  <rowItems count="102">
    <i>
      <x v="100"/>
    </i>
    <i>
      <x v="99"/>
    </i>
    <i>
      <x v="13"/>
    </i>
    <i>
      <x v="26"/>
    </i>
    <i>
      <x v="7"/>
    </i>
    <i>
      <x v="58"/>
    </i>
    <i>
      <x v="11"/>
    </i>
    <i>
      <x v="39"/>
    </i>
    <i>
      <x/>
    </i>
    <i>
      <x v="51"/>
    </i>
    <i>
      <x v="40"/>
    </i>
    <i>
      <x v="66"/>
    </i>
    <i>
      <x v="75"/>
    </i>
    <i>
      <x v="23"/>
    </i>
    <i>
      <x v="21"/>
    </i>
    <i>
      <x v="53"/>
    </i>
    <i>
      <x v="46"/>
    </i>
    <i>
      <x v="8"/>
    </i>
    <i>
      <x v="98"/>
    </i>
    <i>
      <x v="10"/>
    </i>
    <i>
      <x v="63"/>
    </i>
    <i>
      <x v="72"/>
    </i>
    <i>
      <x v="94"/>
    </i>
    <i>
      <x v="96"/>
    </i>
    <i>
      <x v="4"/>
    </i>
    <i>
      <x v="91"/>
    </i>
    <i>
      <x v="74"/>
    </i>
    <i>
      <x v="54"/>
    </i>
    <i>
      <x v="55"/>
    </i>
    <i>
      <x v="38"/>
    </i>
    <i>
      <x v="82"/>
    </i>
    <i>
      <x v="25"/>
    </i>
    <i>
      <x v="88"/>
    </i>
    <i>
      <x v="77"/>
    </i>
    <i>
      <x v="49"/>
    </i>
    <i>
      <x v="32"/>
    </i>
    <i>
      <x v="68"/>
    </i>
    <i>
      <x v="2"/>
    </i>
    <i>
      <x v="36"/>
    </i>
    <i>
      <x v="92"/>
    </i>
    <i>
      <x v="24"/>
    </i>
    <i>
      <x v="67"/>
    </i>
    <i>
      <x v="6"/>
    </i>
    <i>
      <x v="41"/>
    </i>
    <i>
      <x v="18"/>
    </i>
    <i>
      <x v="45"/>
    </i>
    <i>
      <x v="42"/>
    </i>
    <i>
      <x v="83"/>
    </i>
    <i>
      <x v="47"/>
    </i>
    <i>
      <x v="35"/>
    </i>
    <i>
      <x v="52"/>
    </i>
    <i>
      <x v="31"/>
    </i>
    <i>
      <x v="14"/>
    </i>
    <i>
      <x v="5"/>
    </i>
    <i>
      <x v="81"/>
    </i>
    <i>
      <x v="22"/>
    </i>
    <i>
      <x v="95"/>
    </i>
    <i>
      <x v="76"/>
    </i>
    <i>
      <x v="16"/>
    </i>
    <i>
      <x v="93"/>
    </i>
    <i>
      <x v="71"/>
    </i>
    <i>
      <x v="50"/>
    </i>
    <i>
      <x v="17"/>
    </i>
    <i>
      <x v="70"/>
    </i>
    <i>
      <x v="28"/>
    </i>
    <i>
      <x v="1"/>
    </i>
    <i>
      <x v="65"/>
    </i>
    <i>
      <x v="29"/>
    </i>
    <i>
      <x v="33"/>
    </i>
    <i>
      <x v="97"/>
    </i>
    <i>
      <x v="56"/>
    </i>
    <i>
      <x v="59"/>
    </i>
    <i>
      <x v="19"/>
    </i>
    <i>
      <x v="62"/>
    </i>
    <i>
      <x v="73"/>
    </i>
    <i>
      <x v="27"/>
    </i>
    <i>
      <x v="61"/>
    </i>
    <i>
      <x v="34"/>
    </i>
    <i>
      <x v="44"/>
    </i>
    <i>
      <x v="60"/>
    </i>
    <i>
      <x v="86"/>
    </i>
    <i>
      <x v="20"/>
    </i>
    <i>
      <x v="78"/>
    </i>
    <i>
      <x v="57"/>
    </i>
    <i>
      <x v="30"/>
    </i>
    <i>
      <x v="9"/>
    </i>
    <i>
      <x v="3"/>
    </i>
    <i>
      <x v="15"/>
    </i>
    <i>
      <x v="89"/>
    </i>
    <i>
      <x v="79"/>
    </i>
    <i>
      <x v="12"/>
    </i>
    <i>
      <x v="84"/>
    </i>
    <i>
      <x v="87"/>
    </i>
    <i>
      <x v="85"/>
    </i>
    <i>
      <x v="37"/>
    </i>
    <i>
      <x v="64"/>
    </i>
    <i>
      <x v="43"/>
    </i>
    <i>
      <x v="80"/>
    </i>
    <i>
      <x v="48"/>
    </i>
    <i>
      <x v="90"/>
    </i>
    <i>
      <x v="69"/>
    </i>
    <i t="grand">
      <x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G+A" fld="8" baseField="0" baseItem="0"/>
  </dataFields>
  <formats count="17">
    <format dxfId="78">
      <pivotArea collapsedLevelsAreSubtotals="1" fieldPosition="0">
        <references count="1">
          <reference field="2" count="0"/>
        </references>
      </pivotArea>
    </format>
    <format dxfId="77">
      <pivotArea dataOnly="0" labelOnly="1" fieldPosition="0">
        <references count="1">
          <reference field="2" count="50">
            <x v="0"/>
            <x v="2"/>
            <x v="4"/>
            <x v="6"/>
            <x v="7"/>
            <x v="8"/>
            <x v="10"/>
            <x v="11"/>
            <x v="13"/>
            <x v="18"/>
            <x v="21"/>
            <x v="23"/>
            <x v="24"/>
            <x v="25"/>
            <x v="26"/>
            <x v="32"/>
            <x v="35"/>
            <x v="36"/>
            <x v="38"/>
            <x v="39"/>
            <x v="40"/>
            <x v="41"/>
            <x v="42"/>
            <x v="45"/>
            <x v="46"/>
            <x v="47"/>
            <x v="49"/>
            <x v="51"/>
            <x v="53"/>
            <x v="54"/>
            <x v="55"/>
            <x v="58"/>
            <x v="63"/>
            <x v="66"/>
            <x v="67"/>
            <x v="68"/>
            <x v="72"/>
            <x v="74"/>
            <x v="75"/>
            <x v="77"/>
            <x v="82"/>
            <x v="83"/>
            <x v="88"/>
            <x v="91"/>
            <x v="92"/>
            <x v="94"/>
            <x v="96"/>
            <x v="98"/>
            <x v="99"/>
            <x v="100"/>
          </reference>
        </references>
      </pivotArea>
    </format>
    <format dxfId="76">
      <pivotArea dataOnly="0" labelOnly="1" fieldPosition="0">
        <references count="1">
          <reference field="2" count="50">
            <x v="1"/>
            <x v="3"/>
            <x v="5"/>
            <x v="9"/>
            <x v="12"/>
            <x v="14"/>
            <x v="15"/>
            <x v="16"/>
            <x v="17"/>
            <x v="19"/>
            <x v="20"/>
            <x v="22"/>
            <x v="27"/>
            <x v="28"/>
            <x v="29"/>
            <x v="30"/>
            <x v="31"/>
            <x v="33"/>
            <x v="34"/>
            <x v="37"/>
            <x v="43"/>
            <x v="44"/>
            <x v="48"/>
            <x v="50"/>
            <x v="52"/>
            <x v="56"/>
            <x v="57"/>
            <x v="59"/>
            <x v="60"/>
            <x v="61"/>
            <x v="62"/>
            <x v="64"/>
            <x v="65"/>
            <x v="70"/>
            <x v="71"/>
            <x v="73"/>
            <x v="76"/>
            <x v="78"/>
            <x v="79"/>
            <x v="80"/>
            <x v="81"/>
            <x v="84"/>
            <x v="85"/>
            <x v="86"/>
            <x v="87"/>
            <x v="89"/>
            <x v="90"/>
            <x v="93"/>
            <x v="95"/>
            <x v="97"/>
          </reference>
        </references>
      </pivotArea>
    </format>
    <format dxfId="75">
      <pivotArea dataOnly="0" labelOnly="1" fieldPosition="0">
        <references count="1">
          <reference field="2" count="1">
            <x v="69"/>
          </reference>
        </references>
      </pivotArea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type="origin" dataOnly="0" labelOnly="1" outline="0" fieldPosition="0"/>
    </format>
    <format dxfId="71">
      <pivotArea field="0" type="button" dataOnly="0" labelOnly="1" outline="0" axis="axisCol" fieldPosition="0"/>
    </format>
    <format dxfId="70">
      <pivotArea type="topRight" dataOnly="0" labelOnly="1" outline="0" fieldPosition="0"/>
    </format>
    <format dxfId="69">
      <pivotArea field="2" type="button" dataOnly="0" labelOnly="1" outline="0" axis="axisRow" fieldPosition="0"/>
    </format>
    <format dxfId="68">
      <pivotArea dataOnly="0" labelOnly="1" fieldPosition="0">
        <references count="1">
          <reference field="2" count="50">
            <x v="0"/>
            <x v="2"/>
            <x v="4"/>
            <x v="6"/>
            <x v="7"/>
            <x v="8"/>
            <x v="10"/>
            <x v="11"/>
            <x v="13"/>
            <x v="18"/>
            <x v="21"/>
            <x v="23"/>
            <x v="24"/>
            <x v="25"/>
            <x v="26"/>
            <x v="32"/>
            <x v="35"/>
            <x v="36"/>
            <x v="38"/>
            <x v="39"/>
            <x v="40"/>
            <x v="41"/>
            <x v="42"/>
            <x v="45"/>
            <x v="46"/>
            <x v="47"/>
            <x v="49"/>
            <x v="51"/>
            <x v="53"/>
            <x v="54"/>
            <x v="55"/>
            <x v="58"/>
            <x v="63"/>
            <x v="66"/>
            <x v="67"/>
            <x v="68"/>
            <x v="72"/>
            <x v="74"/>
            <x v="75"/>
            <x v="77"/>
            <x v="82"/>
            <x v="83"/>
            <x v="88"/>
            <x v="91"/>
            <x v="92"/>
            <x v="94"/>
            <x v="96"/>
            <x v="98"/>
            <x v="99"/>
            <x v="100"/>
          </reference>
        </references>
      </pivotArea>
    </format>
    <format dxfId="67">
      <pivotArea dataOnly="0" labelOnly="1" fieldPosition="0">
        <references count="1">
          <reference field="2" count="50">
            <x v="1"/>
            <x v="3"/>
            <x v="5"/>
            <x v="9"/>
            <x v="12"/>
            <x v="14"/>
            <x v="15"/>
            <x v="16"/>
            <x v="17"/>
            <x v="19"/>
            <x v="20"/>
            <x v="22"/>
            <x v="27"/>
            <x v="28"/>
            <x v="29"/>
            <x v="30"/>
            <x v="31"/>
            <x v="33"/>
            <x v="34"/>
            <x v="37"/>
            <x v="43"/>
            <x v="44"/>
            <x v="48"/>
            <x v="50"/>
            <x v="52"/>
            <x v="56"/>
            <x v="57"/>
            <x v="59"/>
            <x v="60"/>
            <x v="61"/>
            <x v="62"/>
            <x v="64"/>
            <x v="65"/>
            <x v="70"/>
            <x v="71"/>
            <x v="73"/>
            <x v="76"/>
            <x v="78"/>
            <x v="79"/>
            <x v="80"/>
            <x v="81"/>
            <x v="84"/>
            <x v="85"/>
            <x v="86"/>
            <x v="87"/>
            <x v="89"/>
            <x v="90"/>
            <x v="93"/>
            <x v="95"/>
            <x v="97"/>
          </reference>
        </references>
      </pivotArea>
    </format>
    <format dxfId="66">
      <pivotArea dataOnly="0" labelOnly="1" fieldPosition="0">
        <references count="1">
          <reference field="2" count="1">
            <x v="69"/>
          </reference>
        </references>
      </pivotArea>
    </format>
    <format dxfId="65">
      <pivotArea dataOnly="0" labelOnly="1" grandRow="1" outline="0" fieldPosition="0"/>
    </format>
    <format dxfId="64">
      <pivotArea dataOnly="0" labelOnly="1" fieldPosition="0">
        <references count="1">
          <reference field="0" count="0"/>
        </references>
      </pivotArea>
    </format>
    <format dxfId="63">
      <pivotArea dataOnly="0" labelOnly="1" grandCol="1" outline="0" fieldPosition="0"/>
    </format>
    <format dxfId="62">
      <pivotArea field="2" grandCol="1" collapsedLevelsAreSubtotals="1" axis="axisRow" fieldPosition="0">
        <references count="1">
          <reference field="2" count="3">
            <x v="48"/>
            <x v="69"/>
            <x v="90"/>
          </reference>
        </references>
      </pivotArea>
    </format>
  </formats>
  <conditionalFormats count="9">
    <conditionalFormat type="all" priority="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0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1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2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3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4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5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6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7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FF7E7-319F-4C27-ABFB-E6A5A6F97F8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06" firstHeaderRow="1" firstDataRow="2" firstDataCol="1"/>
  <pivotFields count="18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showAll="0" sortType="ascending">
      <items count="102">
        <item x="43"/>
        <item x="80"/>
        <item x="34"/>
        <item x="6"/>
        <item x="26"/>
        <item x="12"/>
        <item x="98"/>
        <item x="41"/>
        <item x="69"/>
        <item x="25"/>
        <item x="88"/>
        <item x="84"/>
        <item x="20"/>
        <item x="40"/>
        <item x="89"/>
        <item x="65"/>
        <item x="38"/>
        <item x="49"/>
        <item x="85"/>
        <item x="72"/>
        <item x="67"/>
        <item x="75"/>
        <item x="68"/>
        <item x="44"/>
        <item x="51"/>
        <item x="4"/>
        <item x="5"/>
        <item x="71"/>
        <item x="70"/>
        <item x="29"/>
        <item x="54"/>
        <item x="33"/>
        <item x="3"/>
        <item x="10"/>
        <item x="11"/>
        <item x="61"/>
        <item x="42"/>
        <item x="77"/>
        <item x="92"/>
        <item x="73"/>
        <item x="90"/>
        <item x="31"/>
        <item x="60"/>
        <item x="19"/>
        <item x="56"/>
        <item x="62"/>
        <item x="37"/>
        <item x="59"/>
        <item x="28"/>
        <item x="35"/>
        <item x="66"/>
        <item x="82"/>
        <item x="24"/>
        <item x="76"/>
        <item x="99"/>
        <item x="23"/>
        <item x="78"/>
        <item x="58"/>
        <item x="15"/>
        <item x="74"/>
        <item x="17"/>
        <item x="32"/>
        <item x="64"/>
        <item x="95"/>
        <item x="22"/>
        <item x="52"/>
        <item x="100"/>
        <item x="14"/>
        <item x="91"/>
        <item x="1"/>
        <item x="83"/>
        <item x="46"/>
        <item x="53"/>
        <item x="7"/>
        <item x="97"/>
        <item x="86"/>
        <item x="13"/>
        <item x="93"/>
        <item x="50"/>
        <item x="8"/>
        <item x="16"/>
        <item x="87"/>
        <item x="47"/>
        <item x="81"/>
        <item x="39"/>
        <item x="0"/>
        <item x="21"/>
        <item x="2"/>
        <item x="96"/>
        <item x="18"/>
        <item x="30"/>
        <item x="63"/>
        <item x="55"/>
        <item x="48"/>
        <item x="9"/>
        <item x="57"/>
        <item x="94"/>
        <item x="36"/>
        <item x="79"/>
        <item x="45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dataField="1" numFmtId="164" showAll="0"/>
    <pivotField showAll="0"/>
    <pivotField showAll="0"/>
    <pivotField showAll="0"/>
  </pivotFields>
  <rowFields count="1">
    <field x="2"/>
  </rowFields>
  <rowItems count="102">
    <i>
      <x v="99"/>
    </i>
    <i>
      <x v="100"/>
    </i>
    <i>
      <x v="51"/>
    </i>
    <i>
      <x v="13"/>
    </i>
    <i>
      <x v="7"/>
    </i>
    <i>
      <x v="11"/>
    </i>
    <i>
      <x v="26"/>
    </i>
    <i>
      <x v="58"/>
    </i>
    <i>
      <x v="40"/>
    </i>
    <i>
      <x/>
    </i>
    <i>
      <x v="39"/>
    </i>
    <i>
      <x v="75"/>
    </i>
    <i>
      <x v="66"/>
    </i>
    <i>
      <x v="53"/>
    </i>
    <i>
      <x v="23"/>
    </i>
    <i>
      <x v="21"/>
    </i>
    <i>
      <x v="91"/>
    </i>
    <i>
      <x v="98"/>
    </i>
    <i>
      <x v="8"/>
    </i>
    <i>
      <x v="10"/>
    </i>
    <i>
      <x v="46"/>
    </i>
    <i>
      <x v="63"/>
    </i>
    <i>
      <x v="72"/>
    </i>
    <i>
      <x v="94"/>
    </i>
    <i>
      <x v="25"/>
    </i>
    <i>
      <x v="82"/>
    </i>
    <i>
      <x v="33"/>
    </i>
    <i>
      <x v="31"/>
    </i>
    <i>
      <x v="96"/>
    </i>
    <i>
      <x v="32"/>
    </i>
    <i>
      <x v="36"/>
    </i>
    <i>
      <x v="4"/>
    </i>
    <i>
      <x v="24"/>
    </i>
    <i>
      <x v="92"/>
    </i>
    <i>
      <x v="16"/>
    </i>
    <i>
      <x v="74"/>
    </i>
    <i>
      <x v="54"/>
    </i>
    <i>
      <x v="41"/>
    </i>
    <i>
      <x v="67"/>
    </i>
    <i>
      <x v="50"/>
    </i>
    <i>
      <x v="55"/>
    </i>
    <i>
      <x v="18"/>
    </i>
    <i>
      <x v="42"/>
    </i>
    <i>
      <x v="61"/>
    </i>
    <i>
      <x v="95"/>
    </i>
    <i>
      <x v="38"/>
    </i>
    <i>
      <x v="83"/>
    </i>
    <i>
      <x v="28"/>
    </i>
    <i>
      <x v="76"/>
    </i>
    <i>
      <x v="77"/>
    </i>
    <i>
      <x v="47"/>
    </i>
    <i>
      <x v="88"/>
    </i>
    <i>
      <x v="35"/>
    </i>
    <i>
      <x v="73"/>
    </i>
    <i>
      <x v="49"/>
    </i>
    <i>
      <x v="44"/>
    </i>
    <i>
      <x v="17"/>
    </i>
    <i>
      <x v="52"/>
    </i>
    <i>
      <x v="68"/>
    </i>
    <i>
      <x v="2"/>
    </i>
    <i>
      <x v="62"/>
    </i>
    <i>
      <x v="14"/>
    </i>
    <i>
      <x v="65"/>
    </i>
    <i>
      <x v="1"/>
    </i>
    <i>
      <x v="5"/>
    </i>
    <i>
      <x v="81"/>
    </i>
    <i>
      <x v="29"/>
    </i>
    <i>
      <x v="9"/>
    </i>
    <i>
      <x v="22"/>
    </i>
    <i>
      <x v="97"/>
    </i>
    <i>
      <x v="59"/>
    </i>
    <i>
      <x v="57"/>
    </i>
    <i>
      <x v="30"/>
    </i>
    <i>
      <x v="19"/>
    </i>
    <i>
      <x v="12"/>
    </i>
    <i>
      <x v="93"/>
    </i>
    <i>
      <x v="6"/>
    </i>
    <i>
      <x v="79"/>
    </i>
    <i>
      <x v="71"/>
    </i>
    <i>
      <x v="45"/>
    </i>
    <i>
      <x v="3"/>
    </i>
    <i>
      <x v="70"/>
    </i>
    <i>
      <x v="78"/>
    </i>
    <i>
      <x v="43"/>
    </i>
    <i>
      <x v="27"/>
    </i>
    <i>
      <x v="86"/>
    </i>
    <i>
      <x v="85"/>
    </i>
    <i>
      <x v="20"/>
    </i>
    <i>
      <x v="64"/>
    </i>
    <i>
      <x v="56"/>
    </i>
    <i>
      <x v="80"/>
    </i>
    <i>
      <x v="15"/>
    </i>
    <i>
      <x v="84"/>
    </i>
    <i>
      <x v="90"/>
    </i>
    <i>
      <x v="87"/>
    </i>
    <i>
      <x v="89"/>
    </i>
    <i>
      <x v="60"/>
    </i>
    <i>
      <x v="34"/>
    </i>
    <i>
      <x v="48"/>
    </i>
    <i>
      <x v="69"/>
    </i>
    <i>
      <x v="37"/>
    </i>
    <i t="grand">
      <x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Average of G+A/90" fld="14" subtotal="average" baseField="2" baseItem="0" numFmtId="164"/>
  </dataFields>
  <formats count="12">
    <format dxfId="52">
      <pivotArea type="all" dataOnly="0" outline="0" fieldPosition="0"/>
    </format>
    <format dxfId="51">
      <pivotArea outline="0" collapsedLevelsAreSubtotals="1" fieldPosition="0"/>
    </format>
    <format dxfId="50">
      <pivotArea type="origin" dataOnly="0" labelOnly="1" outline="0" fieldPosition="0"/>
    </format>
    <format dxfId="49">
      <pivotArea field="0" type="button" dataOnly="0" labelOnly="1" outline="0" axis="axisCol" fieldPosition="0"/>
    </format>
    <format dxfId="48">
      <pivotArea type="topRight" dataOnly="0" labelOnly="1" outline="0" fieldPosition="0"/>
    </format>
    <format dxfId="47">
      <pivotArea field="2" type="button" dataOnly="0" labelOnly="1" outline="0" axis="axisRow" fieldPosition="0"/>
    </format>
    <format dxfId="46">
      <pivotArea dataOnly="0" labelOnly="1" fieldPosition="0">
        <references count="1">
          <reference field="2" count="50">
            <x v="0"/>
            <x v="4"/>
            <x v="7"/>
            <x v="8"/>
            <x v="10"/>
            <x v="11"/>
            <x v="13"/>
            <x v="16"/>
            <x v="18"/>
            <x v="21"/>
            <x v="23"/>
            <x v="24"/>
            <x v="25"/>
            <x v="26"/>
            <x v="28"/>
            <x v="31"/>
            <x v="32"/>
            <x v="33"/>
            <x v="36"/>
            <x v="38"/>
            <x v="39"/>
            <x v="40"/>
            <x v="41"/>
            <x v="42"/>
            <x v="46"/>
            <x v="50"/>
            <x v="51"/>
            <x v="53"/>
            <x v="54"/>
            <x v="55"/>
            <x v="58"/>
            <x v="61"/>
            <x v="63"/>
            <x v="66"/>
            <x v="67"/>
            <x v="72"/>
            <x v="74"/>
            <x v="75"/>
            <x v="76"/>
            <x v="77"/>
            <x v="82"/>
            <x v="83"/>
            <x v="91"/>
            <x v="92"/>
            <x v="94"/>
            <x v="95"/>
            <x v="96"/>
            <x v="98"/>
            <x v="99"/>
            <x v="100"/>
          </reference>
        </references>
      </pivotArea>
    </format>
    <format dxfId="45">
      <pivotArea dataOnly="0" labelOnly="1" fieldPosition="0">
        <references count="1">
          <reference field="2" count="50">
            <x v="1"/>
            <x v="2"/>
            <x v="3"/>
            <x v="5"/>
            <x v="6"/>
            <x v="9"/>
            <x v="12"/>
            <x v="14"/>
            <x v="15"/>
            <x v="17"/>
            <x v="19"/>
            <x v="20"/>
            <x v="22"/>
            <x v="27"/>
            <x v="29"/>
            <x v="30"/>
            <x v="34"/>
            <x v="35"/>
            <x v="43"/>
            <x v="44"/>
            <x v="45"/>
            <x v="47"/>
            <x v="48"/>
            <x v="49"/>
            <x v="52"/>
            <x v="56"/>
            <x v="57"/>
            <x v="59"/>
            <x v="60"/>
            <x v="62"/>
            <x v="64"/>
            <x v="65"/>
            <x v="68"/>
            <x v="69"/>
            <x v="70"/>
            <x v="71"/>
            <x v="73"/>
            <x v="78"/>
            <x v="79"/>
            <x v="80"/>
            <x v="81"/>
            <x v="84"/>
            <x v="85"/>
            <x v="86"/>
            <x v="87"/>
            <x v="88"/>
            <x v="89"/>
            <x v="90"/>
            <x v="93"/>
            <x v="97"/>
          </reference>
        </references>
      </pivotArea>
    </format>
    <format dxfId="44">
      <pivotArea dataOnly="0" labelOnly="1" fieldPosition="0">
        <references count="1">
          <reference field="2" count="1">
            <x v="37"/>
          </reference>
        </references>
      </pivotArea>
    </format>
    <format dxfId="43">
      <pivotArea dataOnly="0" labelOnly="1" grandRow="1" outline="0" fieldPosition="0"/>
    </format>
    <format dxfId="42">
      <pivotArea dataOnly="0" labelOnly="1" fieldPosition="0">
        <references count="1">
          <reference field="0" count="0"/>
        </references>
      </pivotArea>
    </format>
    <format dxfId="41">
      <pivotArea dataOnly="0" labelOnly="1" grandCol="1" outline="0" fieldPosition="0"/>
    </format>
  </formats>
  <conditionalFormats count="9">
    <conditionalFormat type="all" priority="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0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1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2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3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4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5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6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7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C482B-8E3C-46C1-85FD-8708DDDCBAE7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J106" firstHeaderRow="1" firstDataRow="2" firstDataCol="1"/>
  <pivotFields count="18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showAll="0" sortType="ascending">
      <items count="102">
        <item x="43"/>
        <item x="80"/>
        <item x="34"/>
        <item x="6"/>
        <item x="26"/>
        <item x="12"/>
        <item x="98"/>
        <item x="41"/>
        <item x="69"/>
        <item x="25"/>
        <item x="88"/>
        <item x="84"/>
        <item x="20"/>
        <item x="40"/>
        <item x="89"/>
        <item x="65"/>
        <item x="38"/>
        <item x="49"/>
        <item x="85"/>
        <item x="72"/>
        <item x="67"/>
        <item x="75"/>
        <item x="68"/>
        <item x="44"/>
        <item x="51"/>
        <item x="4"/>
        <item x="5"/>
        <item x="71"/>
        <item x="70"/>
        <item x="29"/>
        <item x="54"/>
        <item x="33"/>
        <item x="3"/>
        <item x="10"/>
        <item x="11"/>
        <item x="61"/>
        <item x="42"/>
        <item x="77"/>
        <item x="92"/>
        <item x="73"/>
        <item x="90"/>
        <item x="31"/>
        <item x="60"/>
        <item x="19"/>
        <item x="56"/>
        <item x="62"/>
        <item x="37"/>
        <item x="59"/>
        <item x="28"/>
        <item x="35"/>
        <item x="66"/>
        <item x="82"/>
        <item x="24"/>
        <item x="76"/>
        <item x="99"/>
        <item x="23"/>
        <item x="78"/>
        <item x="58"/>
        <item x="15"/>
        <item x="74"/>
        <item x="17"/>
        <item x="32"/>
        <item x="64"/>
        <item x="95"/>
        <item x="22"/>
        <item x="52"/>
        <item x="100"/>
        <item x="14"/>
        <item x="91"/>
        <item x="1"/>
        <item x="83"/>
        <item x="46"/>
        <item x="53"/>
        <item x="7"/>
        <item x="97"/>
        <item x="86"/>
        <item x="13"/>
        <item x="93"/>
        <item x="50"/>
        <item x="8"/>
        <item x="16"/>
        <item x="87"/>
        <item x="47"/>
        <item x="81"/>
        <item x="39"/>
        <item x="0"/>
        <item x="21"/>
        <item x="2"/>
        <item x="96"/>
        <item x="18"/>
        <item x="30"/>
        <item x="63"/>
        <item x="55"/>
        <item x="48"/>
        <item x="9"/>
        <item x="57"/>
        <item x="94"/>
        <item x="36"/>
        <item x="79"/>
        <item x="45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dataField="1" showAll="0"/>
    <pivotField showAll="0">
      <items count="16">
        <item x="6"/>
        <item x="0"/>
        <item x="1"/>
        <item x="14"/>
        <item x="7"/>
        <item x="4"/>
        <item x="9"/>
        <item x="8"/>
        <item x="5"/>
        <item x="10"/>
        <item x="11"/>
        <item x="12"/>
        <item x="13"/>
        <item x="3"/>
        <item x="2"/>
        <item t="default"/>
      </items>
    </pivotField>
  </pivotFields>
  <rowFields count="1">
    <field x="2"/>
  </rowFields>
  <rowItems count="102">
    <i>
      <x v="100"/>
    </i>
    <i>
      <x v="99"/>
    </i>
    <i>
      <x v="13"/>
    </i>
    <i>
      <x v="51"/>
    </i>
    <i>
      <x v="26"/>
    </i>
    <i>
      <x v="40"/>
    </i>
    <i>
      <x v="11"/>
    </i>
    <i>
      <x v="58"/>
    </i>
    <i>
      <x v="39"/>
    </i>
    <i>
      <x/>
    </i>
    <i>
      <x v="75"/>
    </i>
    <i>
      <x v="7"/>
    </i>
    <i>
      <x v="23"/>
    </i>
    <i>
      <x v="46"/>
    </i>
    <i>
      <x v="91"/>
    </i>
    <i>
      <x v="66"/>
    </i>
    <i>
      <x v="25"/>
    </i>
    <i>
      <x v="72"/>
    </i>
    <i>
      <x v="31"/>
    </i>
    <i>
      <x v="92"/>
    </i>
    <i>
      <x v="4"/>
    </i>
    <i>
      <x v="63"/>
    </i>
    <i>
      <x v="36"/>
    </i>
    <i>
      <x v="82"/>
    </i>
    <i>
      <x v="98"/>
    </i>
    <i>
      <x v="42"/>
    </i>
    <i>
      <x v="96"/>
    </i>
    <i>
      <x v="33"/>
    </i>
    <i>
      <x v="50"/>
    </i>
    <i>
      <x v="55"/>
    </i>
    <i>
      <x v="24"/>
    </i>
    <i>
      <x v="10"/>
    </i>
    <i>
      <x v="41"/>
    </i>
    <i>
      <x v="38"/>
    </i>
    <i>
      <x v="61"/>
    </i>
    <i>
      <x v="16"/>
    </i>
    <i>
      <x v="8"/>
    </i>
    <i>
      <x v="62"/>
    </i>
    <i>
      <x v="67"/>
    </i>
    <i>
      <x v="94"/>
    </i>
    <i>
      <x v="74"/>
    </i>
    <i>
      <x v="21"/>
    </i>
    <i>
      <x v="53"/>
    </i>
    <i>
      <x v="32"/>
    </i>
    <i>
      <x v="76"/>
    </i>
    <i>
      <x v="18"/>
    </i>
    <i>
      <x v="68"/>
    </i>
    <i>
      <x v="95"/>
    </i>
    <i>
      <x v="29"/>
    </i>
    <i>
      <x v="12"/>
    </i>
    <i>
      <x v="49"/>
    </i>
    <i>
      <x v="30"/>
    </i>
    <i>
      <x v="77"/>
    </i>
    <i>
      <x v="73"/>
    </i>
    <i>
      <x v="54"/>
    </i>
    <i>
      <x v="19"/>
    </i>
    <i>
      <x v="44"/>
    </i>
    <i>
      <x v="2"/>
    </i>
    <i>
      <x v="52"/>
    </i>
    <i>
      <x v="83"/>
    </i>
    <i>
      <x v="59"/>
    </i>
    <i>
      <x v="35"/>
    </i>
    <i>
      <x v="43"/>
    </i>
    <i>
      <x v="88"/>
    </i>
    <i>
      <x v="28"/>
    </i>
    <i>
      <x v="97"/>
    </i>
    <i>
      <x v="47"/>
    </i>
    <i>
      <x v="17"/>
    </i>
    <i>
      <x v="45"/>
    </i>
    <i>
      <x v="5"/>
    </i>
    <i>
      <x v="27"/>
    </i>
    <i>
      <x v="78"/>
    </i>
    <i>
      <x v="89"/>
    </i>
    <i>
      <x v="9"/>
    </i>
    <i>
      <x v="84"/>
    </i>
    <i>
      <x v="65"/>
    </i>
    <i>
      <x v="85"/>
    </i>
    <i>
      <x v="60"/>
    </i>
    <i>
      <x v="93"/>
    </i>
    <i>
      <x v="80"/>
    </i>
    <i>
      <x v="56"/>
    </i>
    <i>
      <x v="57"/>
    </i>
    <i>
      <x v="14"/>
    </i>
    <i>
      <x v="70"/>
    </i>
    <i>
      <x v="87"/>
    </i>
    <i>
      <x v="1"/>
    </i>
    <i>
      <x v="71"/>
    </i>
    <i>
      <x v="81"/>
    </i>
    <i>
      <x v="79"/>
    </i>
    <i>
      <x v="20"/>
    </i>
    <i>
      <x v="86"/>
    </i>
    <i>
      <x v="15"/>
    </i>
    <i>
      <x v="3"/>
    </i>
    <i>
      <x v="90"/>
    </i>
    <i>
      <x v="6"/>
    </i>
    <i>
      <x v="64"/>
    </i>
    <i>
      <x v="22"/>
    </i>
    <i>
      <x v="34"/>
    </i>
    <i>
      <x v="69"/>
    </i>
    <i>
      <x v="48"/>
    </i>
    <i>
      <x v="37"/>
    </i>
    <i t="grand">
      <x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Average of G+A Share" fld="16" subtotal="average" baseField="2" baseItem="0" numFmtId="164"/>
  </dataFields>
  <formats count="12">
    <format dxfId="31">
      <pivotArea type="all" dataOnly="0" outline="0" fieldPosition="0"/>
    </format>
    <format dxfId="30">
      <pivotArea outline="0" collapsedLevelsAreSubtotals="1" fieldPosition="0"/>
    </format>
    <format dxfId="29">
      <pivotArea type="origin" dataOnly="0" labelOnly="1" outline="0" fieldPosition="0"/>
    </format>
    <format dxfId="28">
      <pivotArea field="0" type="button" dataOnly="0" labelOnly="1" outline="0" axis="axisCol" fieldPosition="0"/>
    </format>
    <format dxfId="27">
      <pivotArea type="topRight" dataOnly="0" labelOnly="1" outline="0" fieldPosition="0"/>
    </format>
    <format dxfId="26">
      <pivotArea field="2" type="button" dataOnly="0" labelOnly="1" outline="0" axis="axisRow" fieldPosition="0"/>
    </format>
    <format dxfId="25">
      <pivotArea dataOnly="0" labelOnly="1" fieldPosition="0">
        <references count="1">
          <reference field="2" count="50">
            <x v="0"/>
            <x v="4"/>
            <x v="7"/>
            <x v="8"/>
            <x v="10"/>
            <x v="11"/>
            <x v="12"/>
            <x v="13"/>
            <x v="16"/>
            <x v="18"/>
            <x v="21"/>
            <x v="23"/>
            <x v="24"/>
            <x v="25"/>
            <x v="26"/>
            <x v="29"/>
            <x v="31"/>
            <x v="32"/>
            <x v="33"/>
            <x v="36"/>
            <x v="38"/>
            <x v="39"/>
            <x v="40"/>
            <x v="41"/>
            <x v="42"/>
            <x v="46"/>
            <x v="50"/>
            <x v="51"/>
            <x v="53"/>
            <x v="55"/>
            <x v="58"/>
            <x v="61"/>
            <x v="62"/>
            <x v="63"/>
            <x v="66"/>
            <x v="67"/>
            <x v="68"/>
            <x v="72"/>
            <x v="74"/>
            <x v="75"/>
            <x v="76"/>
            <x v="82"/>
            <x v="91"/>
            <x v="92"/>
            <x v="94"/>
            <x v="95"/>
            <x v="96"/>
            <x v="98"/>
            <x v="99"/>
            <x v="100"/>
          </reference>
        </references>
      </pivotArea>
    </format>
    <format dxfId="24">
      <pivotArea dataOnly="0" labelOnly="1" fieldPosition="0">
        <references count="1">
          <reference field="2" count="50">
            <x v="1"/>
            <x v="2"/>
            <x v="3"/>
            <x v="5"/>
            <x v="6"/>
            <x v="9"/>
            <x v="14"/>
            <x v="15"/>
            <x v="17"/>
            <x v="19"/>
            <x v="20"/>
            <x v="22"/>
            <x v="27"/>
            <x v="28"/>
            <x v="30"/>
            <x v="34"/>
            <x v="35"/>
            <x v="43"/>
            <x v="44"/>
            <x v="45"/>
            <x v="47"/>
            <x v="48"/>
            <x v="49"/>
            <x v="52"/>
            <x v="54"/>
            <x v="56"/>
            <x v="57"/>
            <x v="59"/>
            <x v="60"/>
            <x v="64"/>
            <x v="65"/>
            <x v="69"/>
            <x v="70"/>
            <x v="71"/>
            <x v="73"/>
            <x v="77"/>
            <x v="78"/>
            <x v="79"/>
            <x v="80"/>
            <x v="81"/>
            <x v="83"/>
            <x v="84"/>
            <x v="85"/>
            <x v="86"/>
            <x v="87"/>
            <x v="88"/>
            <x v="89"/>
            <x v="90"/>
            <x v="93"/>
            <x v="97"/>
          </reference>
        </references>
      </pivotArea>
    </format>
    <format dxfId="23">
      <pivotArea dataOnly="0" labelOnly="1" fieldPosition="0">
        <references count="1">
          <reference field="2" count="1">
            <x v="37"/>
          </reference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1">
          <reference field="0" count="0"/>
        </references>
      </pivotArea>
    </format>
    <format dxfId="20">
      <pivotArea dataOnly="0" labelOnly="1" grandCol="1" outline="0" fieldPosition="0"/>
    </format>
  </formats>
  <conditionalFormats count="9">
    <conditionalFormat type="all" priority="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0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1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2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3"/>
            </reference>
            <reference field="2" count="10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4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5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6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7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652E6-0CB6-4FFA-8C54-606918D6A6F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06" firstHeaderRow="1" firstDataRow="2" firstDataCol="1"/>
  <pivotFields count="18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1"/>
        <item x="2"/>
        <item x="0"/>
        <item x="3"/>
        <item x="4"/>
        <item x="5"/>
        <item t="default"/>
      </items>
    </pivotField>
    <pivotField axis="axisRow" showAll="0" sortType="ascending">
      <items count="102">
        <item x="43"/>
        <item x="80"/>
        <item x="34"/>
        <item x="6"/>
        <item x="26"/>
        <item x="12"/>
        <item x="98"/>
        <item x="41"/>
        <item x="69"/>
        <item x="25"/>
        <item x="88"/>
        <item x="84"/>
        <item x="20"/>
        <item x="40"/>
        <item x="89"/>
        <item x="65"/>
        <item x="38"/>
        <item x="49"/>
        <item x="85"/>
        <item x="72"/>
        <item x="67"/>
        <item x="75"/>
        <item x="68"/>
        <item x="44"/>
        <item x="51"/>
        <item x="4"/>
        <item x="5"/>
        <item x="71"/>
        <item x="70"/>
        <item x="29"/>
        <item x="54"/>
        <item x="33"/>
        <item x="3"/>
        <item x="10"/>
        <item x="11"/>
        <item x="61"/>
        <item x="42"/>
        <item x="77"/>
        <item x="92"/>
        <item x="73"/>
        <item x="90"/>
        <item x="31"/>
        <item x="60"/>
        <item x="19"/>
        <item x="56"/>
        <item x="62"/>
        <item x="37"/>
        <item x="59"/>
        <item x="28"/>
        <item x="35"/>
        <item x="66"/>
        <item x="82"/>
        <item x="24"/>
        <item x="76"/>
        <item x="99"/>
        <item x="23"/>
        <item x="78"/>
        <item x="58"/>
        <item x="15"/>
        <item x="74"/>
        <item x="17"/>
        <item x="32"/>
        <item x="64"/>
        <item x="95"/>
        <item x="22"/>
        <item x="52"/>
        <item x="100"/>
        <item x="14"/>
        <item x="91"/>
        <item x="1"/>
        <item x="83"/>
        <item x="46"/>
        <item x="53"/>
        <item x="7"/>
        <item x="97"/>
        <item x="86"/>
        <item x="13"/>
        <item x="93"/>
        <item x="50"/>
        <item x="8"/>
        <item x="16"/>
        <item x="87"/>
        <item x="47"/>
        <item x="81"/>
        <item x="39"/>
        <item x="0"/>
        <item x="21"/>
        <item x="2"/>
        <item x="96"/>
        <item x="18"/>
        <item x="30"/>
        <item x="63"/>
        <item x="55"/>
        <item x="48"/>
        <item x="9"/>
        <item x="57"/>
        <item x="94"/>
        <item x="36"/>
        <item x="79"/>
        <item x="45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dataField="1" showAll="0"/>
    <pivotField showAll="0"/>
    <pivotField showAll="0"/>
  </pivotFields>
  <rowFields count="1">
    <field x="2"/>
  </rowFields>
  <rowItems count="102">
    <i>
      <x v="51"/>
    </i>
    <i>
      <x v="13"/>
    </i>
    <i>
      <x v="100"/>
    </i>
    <i>
      <x v="99"/>
    </i>
    <i>
      <x v="26"/>
    </i>
    <i>
      <x v="40"/>
    </i>
    <i>
      <x v="58"/>
    </i>
    <i>
      <x v="63"/>
    </i>
    <i>
      <x v="23"/>
    </i>
    <i>
      <x v="25"/>
    </i>
    <i>
      <x v="72"/>
    </i>
    <i>
      <x v="39"/>
    </i>
    <i>
      <x v="31"/>
    </i>
    <i>
      <x/>
    </i>
    <i>
      <x v="92"/>
    </i>
    <i>
      <x v="75"/>
    </i>
    <i>
      <x v="11"/>
    </i>
    <i>
      <x v="42"/>
    </i>
    <i>
      <x v="82"/>
    </i>
    <i>
      <x v="67"/>
    </i>
    <i>
      <x v="38"/>
    </i>
    <i>
      <x v="66"/>
    </i>
    <i>
      <x v="7"/>
    </i>
    <i>
      <x v="46"/>
    </i>
    <i>
      <x v="33"/>
    </i>
    <i>
      <x v="91"/>
    </i>
    <i>
      <x v="96"/>
    </i>
    <i>
      <x v="41"/>
    </i>
    <i>
      <x v="4"/>
    </i>
    <i>
      <x v="18"/>
    </i>
    <i>
      <x v="36"/>
    </i>
    <i>
      <x v="16"/>
    </i>
    <i>
      <x v="45"/>
    </i>
    <i>
      <x v="53"/>
    </i>
    <i>
      <x v="73"/>
    </i>
    <i>
      <x v="74"/>
    </i>
    <i>
      <x v="95"/>
    </i>
    <i>
      <x v="89"/>
    </i>
    <i>
      <x v="35"/>
    </i>
    <i>
      <x v="30"/>
    </i>
    <i>
      <x v="59"/>
    </i>
    <i>
      <x v="83"/>
    </i>
    <i>
      <x v="43"/>
    </i>
    <i>
      <x v="68"/>
    </i>
    <i>
      <x v="32"/>
    </i>
    <i>
      <x v="94"/>
    </i>
    <i>
      <x v="61"/>
    </i>
    <i>
      <x v="50"/>
    </i>
    <i>
      <x v="10"/>
    </i>
    <i>
      <x v="93"/>
    </i>
    <i>
      <x v="47"/>
    </i>
    <i>
      <x v="8"/>
    </i>
    <i>
      <x v="84"/>
    </i>
    <i>
      <x v="55"/>
    </i>
    <i>
      <x v="9"/>
    </i>
    <i>
      <x v="76"/>
    </i>
    <i>
      <x v="5"/>
    </i>
    <i>
      <x v="78"/>
    </i>
    <i>
      <x v="62"/>
    </i>
    <i>
      <x v="24"/>
    </i>
    <i>
      <x v="17"/>
    </i>
    <i>
      <x v="98"/>
    </i>
    <i>
      <x v="27"/>
    </i>
    <i>
      <x v="19"/>
    </i>
    <i>
      <x v="52"/>
    </i>
    <i>
      <x v="54"/>
    </i>
    <i>
      <x v="44"/>
    </i>
    <i>
      <x v="60"/>
    </i>
    <i>
      <x v="49"/>
    </i>
    <i>
      <x v="80"/>
    </i>
    <i>
      <x v="56"/>
    </i>
    <i>
      <x v="29"/>
    </i>
    <i>
      <x v="21"/>
    </i>
    <i>
      <x v="97"/>
    </i>
    <i>
      <x v="12"/>
    </i>
    <i>
      <x v="28"/>
    </i>
    <i>
      <x v="65"/>
    </i>
    <i>
      <x v="79"/>
    </i>
    <i>
      <x v="20"/>
    </i>
    <i>
      <x v="6"/>
    </i>
    <i>
      <x v="85"/>
    </i>
    <i>
      <x v="14"/>
    </i>
    <i>
      <x v="2"/>
    </i>
    <i>
      <x v="88"/>
    </i>
    <i>
      <x v="57"/>
    </i>
    <i>
      <x v="77"/>
    </i>
    <i>
      <x v="1"/>
    </i>
    <i>
      <x v="22"/>
    </i>
    <i>
      <x v="86"/>
    </i>
    <i>
      <x v="71"/>
    </i>
    <i>
      <x v="15"/>
    </i>
    <i>
      <x v="81"/>
    </i>
    <i>
      <x v="70"/>
    </i>
    <i>
      <x v="90"/>
    </i>
    <i>
      <x v="87"/>
    </i>
    <i>
      <x v="3"/>
    </i>
    <i>
      <x v="64"/>
    </i>
    <i>
      <x v="37"/>
    </i>
    <i>
      <x v="34"/>
    </i>
    <i>
      <x v="69"/>
    </i>
    <i>
      <x v="48"/>
    </i>
    <i t="grand">
      <x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Average of Minutes Share" fld="15" subtotal="average" baseField="2" baseItem="9" numFmtId="164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type="origin" dataOnly="0" labelOnly="1" outline="0" fieldPosition="0"/>
    </format>
    <format dxfId="8">
      <pivotArea field="0" type="button" dataOnly="0" labelOnly="1" outline="0" axis="axisCol" fieldPosition="0"/>
    </format>
    <format dxfId="7">
      <pivotArea type="topRight" dataOnly="0" labelOnly="1" outline="0" fieldPosition="0"/>
    </format>
    <format dxfId="6">
      <pivotArea field="2" type="button" dataOnly="0" labelOnly="1" outline="0" axis="axisRow" fieldPosition="0"/>
    </format>
    <format dxfId="5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">
      <pivotArea dataOnly="0" labelOnly="1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">
      <pivotArea dataOnly="0" labelOnly="1" fieldPosition="0">
        <references count="1">
          <reference field="2" count="1">
            <x v="100"/>
          </reference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Col="1" outline="0" fieldPosition="0"/>
    </format>
  </formats>
  <conditionalFormats count="8">
    <conditionalFormat type="all" priority="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0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1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2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3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4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5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6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  <conditionalFormat type="all"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7"/>
            </reference>
            <reference field="2" count="10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A5CCD6-2BC7-4D38-B1AF-A466A58F69FC}" name="Table1" displayName="Table1" ref="A1:R277" totalsRowShown="0" headerRowDxfId="107" dataDxfId="106">
  <autoFilter ref="A1:R277" xr:uid="{68A5CCD6-2BC7-4D38-B1AF-A466A58F69FC}"/>
  <tableColumns count="18">
    <tableColumn id="1" xr3:uid="{9A3CBEFA-217D-49BA-8E9B-FBDE37E63C77}" name="Season" dataDxfId="105"/>
    <tableColumn id="2" xr3:uid="{813253E6-D822-4042-A1F3-DDBE56A71C8D}" name="Club" dataDxfId="104"/>
    <tableColumn id="3" xr3:uid="{01110D11-362B-4F34-8844-48E3DA57417A}" name="Player" dataDxfId="103"/>
    <tableColumn id="4" xr3:uid="{B3403F89-E76C-4504-B91B-01F54EBE3AB5}" name="MP" dataDxfId="102"/>
    <tableColumn id="5" xr3:uid="{4F03A98B-A988-4909-A129-77460F68B9C7}" name="Starts" dataDxfId="101"/>
    <tableColumn id="6" xr3:uid="{91DC23E4-54C6-4784-AD49-ED14CA537569}" name="Minutes" dataDxfId="100"/>
    <tableColumn id="7" xr3:uid="{58A97C10-0AB9-4DA5-BFC4-E6467CF4E681}" name="G" dataDxfId="99"/>
    <tableColumn id="8" xr3:uid="{AA17D5A4-3A96-46FF-B492-0B60CDDC59AC}" name="A" dataDxfId="98"/>
    <tableColumn id="9" xr3:uid="{6025F68A-8C2A-40FF-A5B7-2B6E99A20692}" name="G+A" dataDxfId="97">
      <calculatedColumnFormula>SUM(G2,H2)</calculatedColumnFormula>
    </tableColumn>
    <tableColumn id="10" xr3:uid="{F868E365-A438-43E2-A6C4-01681C935683}" name="G-PK" dataDxfId="96">
      <calculatedColumnFormula>G2-K2</calculatedColumnFormula>
    </tableColumn>
    <tableColumn id="11" xr3:uid="{010983E6-7F82-4D65-B7E9-1DC59AFBFBF8}" name="PK" dataDxfId="95"/>
    <tableColumn id="12" xr3:uid="{A305C3E8-C0FB-45FF-8E4C-CB4F98B929A4}" name="PKAtt" dataDxfId="94"/>
    <tableColumn id="13" xr3:uid="{81773949-AA71-4D61-8328-865CF3AE4675}" name="G/90" dataDxfId="93">
      <calculatedColumnFormula>G2/90</calculatedColumnFormula>
    </tableColumn>
    <tableColumn id="14" xr3:uid="{E989F17A-5A39-4779-8B7B-3071A4C6FE4A}" name="A/90" dataDxfId="92">
      <calculatedColumnFormula>H2/90</calculatedColumnFormula>
    </tableColumn>
    <tableColumn id="15" xr3:uid="{BB8A5F64-9AA6-4D66-8A1A-ED5F64C72521}" name="G+A/90" dataDxfId="91">
      <calculatedColumnFormula>I2/90</calculatedColumnFormula>
    </tableColumn>
    <tableColumn id="16" xr3:uid="{B2E59C6A-B696-4380-A055-1C7B9F839077}" name="Minutes Share" dataDxfId="90">
      <calculatedColumnFormula>F2/$F$326</calculatedColumnFormula>
    </tableColumn>
    <tableColumn id="17" xr3:uid="{001AC9B5-66F6-4566-A96B-526CFBB36C96}" name="G+A Share" dataDxfId="89">
      <calculatedColumnFormula>I2/$I$326</calculatedColumnFormula>
    </tableColumn>
    <tableColumn id="18" xr3:uid="{B5CF9B71-CBFD-43B5-8C6D-0727FFC124C1}" name="PK Conversion" dataDxfId="8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C53C-D921-47DF-A511-079485312FC2}">
  <dimension ref="A1:R327"/>
  <sheetViews>
    <sheetView showGridLines="0" tabSelected="1" zoomScale="80" zoomScaleNormal="80" workbookViewId="0">
      <pane ySplit="1" topLeftCell="A292" activePane="bottomLeft" state="frozen"/>
      <selection pane="bottomLeft" activeCell="D313" sqref="D313"/>
    </sheetView>
  </sheetViews>
  <sheetFormatPr defaultColWidth="8.88671875" defaultRowHeight="15.6" x14ac:dyDescent="0.3"/>
  <cols>
    <col min="1" max="1" width="14.33203125" style="1" bestFit="1" customWidth="1"/>
    <col min="2" max="2" width="20.21875" style="1" bestFit="1" customWidth="1"/>
    <col min="3" max="3" width="29.109375" style="1" bestFit="1" customWidth="1"/>
    <col min="4" max="4" width="10" style="1" bestFit="1" customWidth="1"/>
    <col min="5" max="5" width="13" style="1" bestFit="1" customWidth="1"/>
    <col min="6" max="6" width="14.88671875" style="1" bestFit="1" customWidth="1"/>
    <col min="7" max="7" width="8.33203125" style="1" bestFit="1" customWidth="1"/>
    <col min="8" max="8" width="8.21875" style="1" bestFit="1" customWidth="1"/>
    <col min="9" max="9" width="11" style="1" bestFit="1" customWidth="1"/>
    <col min="10" max="10" width="11.77734375" style="1" bestFit="1" customWidth="1"/>
    <col min="11" max="11" width="9.5546875" style="1" bestFit="1" customWidth="1"/>
    <col min="12" max="12" width="12.6640625" style="1" bestFit="1" customWidth="1"/>
    <col min="13" max="13" width="11.6640625" style="1" bestFit="1" customWidth="1"/>
    <col min="14" max="14" width="11.5546875" style="1" bestFit="1" customWidth="1"/>
    <col min="15" max="15" width="14.33203125" style="1" bestFit="1" customWidth="1"/>
    <col min="16" max="16" width="21.33203125" style="1" bestFit="1" customWidth="1"/>
    <col min="17" max="17" width="17.33203125" style="1" bestFit="1" customWidth="1"/>
    <col min="18" max="18" width="21.5546875" style="1" bestFit="1" customWidth="1"/>
    <col min="19" max="16384" width="8.88671875" style="1"/>
  </cols>
  <sheetData>
    <row r="1" spans="1:18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2" t="s">
        <v>63</v>
      </c>
      <c r="N1" s="12" t="s">
        <v>64</v>
      </c>
      <c r="O1" s="12" t="s">
        <v>65</v>
      </c>
      <c r="P1" s="2" t="s">
        <v>68</v>
      </c>
      <c r="Q1" s="2" t="s">
        <v>74</v>
      </c>
      <c r="R1" s="2" t="s">
        <v>75</v>
      </c>
    </row>
    <row r="2" spans="1:18" x14ac:dyDescent="0.3">
      <c r="A2" s="1" t="s">
        <v>12</v>
      </c>
      <c r="B2" s="1" t="s">
        <v>13</v>
      </c>
      <c r="C2" s="1" t="s">
        <v>14</v>
      </c>
      <c r="D2" s="1">
        <v>52</v>
      </c>
      <c r="E2" s="1">
        <v>47</v>
      </c>
      <c r="F2" s="1">
        <v>3999</v>
      </c>
      <c r="G2" s="1">
        <v>26</v>
      </c>
      <c r="H2" s="1">
        <v>16</v>
      </c>
      <c r="I2" s="1">
        <f>SUM(H2+G2)</f>
        <v>42</v>
      </c>
      <c r="J2" s="1">
        <f>G2-K2</f>
        <v>25</v>
      </c>
      <c r="K2" s="1">
        <v>1</v>
      </c>
      <c r="L2" s="1">
        <v>3</v>
      </c>
      <c r="M2" s="10">
        <f>G2/90</f>
        <v>0.28888888888888886</v>
      </c>
      <c r="N2" s="10">
        <f>H2/90</f>
        <v>0.17777777777777778</v>
      </c>
      <c r="O2" s="10">
        <f>I2/90</f>
        <v>0.46666666666666667</v>
      </c>
      <c r="P2" s="11">
        <f t="shared" ref="P2:P7" si="0">F2/$F$280</f>
        <v>0.31181286549707604</v>
      </c>
      <c r="Q2" s="11">
        <f t="shared" ref="Q2:Q7" si="1">I2/$I$280</f>
        <v>0.30434782608695654</v>
      </c>
      <c r="R2" s="11">
        <f>K2/L2</f>
        <v>0.33333333333333331</v>
      </c>
    </row>
    <row r="3" spans="1:18" x14ac:dyDescent="0.3">
      <c r="A3" s="1" t="s">
        <v>12</v>
      </c>
      <c r="B3" s="1" t="s">
        <v>13</v>
      </c>
      <c r="C3" s="1" t="s">
        <v>15</v>
      </c>
      <c r="D3" s="1">
        <v>50</v>
      </c>
      <c r="E3" s="1">
        <v>47</v>
      </c>
      <c r="F3" s="1">
        <v>3927</v>
      </c>
      <c r="G3" s="1">
        <v>43</v>
      </c>
      <c r="H3" s="1">
        <v>14</v>
      </c>
      <c r="I3" s="1">
        <f t="shared" ref="I3:I14" si="2">SUM(H3+G3)</f>
        <v>57</v>
      </c>
      <c r="J3" s="1">
        <f t="shared" ref="J3:J14" si="3">G3-K3</f>
        <v>42</v>
      </c>
      <c r="K3" s="1">
        <v>1</v>
      </c>
      <c r="L3" s="1">
        <v>2</v>
      </c>
      <c r="M3" s="10">
        <f t="shared" ref="M3:M66" si="4">G3/90</f>
        <v>0.4777777777777778</v>
      </c>
      <c r="N3" s="10">
        <f t="shared" ref="N3:N66" si="5">H3/90</f>
        <v>0.15555555555555556</v>
      </c>
      <c r="O3" s="10">
        <f t="shared" ref="O3:O66" si="6">I3/90</f>
        <v>0.6333333333333333</v>
      </c>
      <c r="P3" s="11">
        <f t="shared" si="0"/>
        <v>0.30619883040935675</v>
      </c>
      <c r="Q3" s="11">
        <f t="shared" si="1"/>
        <v>0.41304347826086957</v>
      </c>
      <c r="R3" s="11">
        <f t="shared" ref="R3:R65" si="7">K3/L3</f>
        <v>0.5</v>
      </c>
    </row>
    <row r="4" spans="1:18" x14ac:dyDescent="0.3">
      <c r="A4" s="1" t="s">
        <v>12</v>
      </c>
      <c r="B4" s="1" t="s">
        <v>13</v>
      </c>
      <c r="C4" s="1" t="s">
        <v>16</v>
      </c>
      <c r="D4" s="1">
        <v>42</v>
      </c>
      <c r="E4" s="1">
        <v>41</v>
      </c>
      <c r="F4" s="1">
        <v>3284</v>
      </c>
      <c r="G4" s="1">
        <v>20</v>
      </c>
      <c r="H4" s="1">
        <v>9</v>
      </c>
      <c r="I4" s="1">
        <f t="shared" si="2"/>
        <v>29</v>
      </c>
      <c r="J4" s="1">
        <f t="shared" si="3"/>
        <v>20</v>
      </c>
      <c r="K4" s="1">
        <v>0</v>
      </c>
      <c r="L4" s="1">
        <v>0</v>
      </c>
      <c r="M4" s="10">
        <f t="shared" si="4"/>
        <v>0.22222222222222221</v>
      </c>
      <c r="N4" s="10">
        <f t="shared" si="5"/>
        <v>0.1</v>
      </c>
      <c r="O4" s="10">
        <f t="shared" si="6"/>
        <v>0.32222222222222224</v>
      </c>
      <c r="P4" s="11">
        <f t="shared" si="0"/>
        <v>0.25606237816764132</v>
      </c>
      <c r="Q4" s="11">
        <f t="shared" si="1"/>
        <v>0.21014492753623187</v>
      </c>
      <c r="R4" s="11"/>
    </row>
    <row r="5" spans="1:18" x14ac:dyDescent="0.3">
      <c r="A5" s="1" t="s">
        <v>12</v>
      </c>
      <c r="B5" s="1" t="s">
        <v>13</v>
      </c>
      <c r="C5" s="1" t="s">
        <v>17</v>
      </c>
      <c r="D5" s="1">
        <v>26</v>
      </c>
      <c r="E5" s="1">
        <v>6</v>
      </c>
      <c r="F5" s="1">
        <v>736</v>
      </c>
      <c r="G5" s="1">
        <v>1</v>
      </c>
      <c r="H5" s="1">
        <v>1</v>
      </c>
      <c r="I5" s="1">
        <f t="shared" si="2"/>
        <v>2</v>
      </c>
      <c r="J5" s="1">
        <f t="shared" si="3"/>
        <v>1</v>
      </c>
      <c r="K5" s="1">
        <v>0</v>
      </c>
      <c r="L5" s="1">
        <v>0</v>
      </c>
      <c r="M5" s="10">
        <f t="shared" si="4"/>
        <v>1.1111111111111112E-2</v>
      </c>
      <c r="N5" s="10">
        <f t="shared" si="5"/>
        <v>1.1111111111111112E-2</v>
      </c>
      <c r="O5" s="10">
        <f t="shared" si="6"/>
        <v>2.2222222222222223E-2</v>
      </c>
      <c r="P5" s="11">
        <f t="shared" si="0"/>
        <v>5.7387914230019495E-2</v>
      </c>
      <c r="Q5" s="11">
        <f t="shared" si="1"/>
        <v>1.4492753623188406E-2</v>
      </c>
      <c r="R5" s="11"/>
    </row>
    <row r="6" spans="1:18" x14ac:dyDescent="0.3">
      <c r="A6" s="1" t="s">
        <v>12</v>
      </c>
      <c r="B6" s="1" t="s">
        <v>13</v>
      </c>
      <c r="C6" s="1" t="s">
        <v>18</v>
      </c>
      <c r="D6" s="1">
        <v>14</v>
      </c>
      <c r="E6" s="1">
        <v>5</v>
      </c>
      <c r="F6" s="1">
        <v>514</v>
      </c>
      <c r="G6" s="1">
        <v>3</v>
      </c>
      <c r="H6" s="1">
        <v>3</v>
      </c>
      <c r="I6" s="1">
        <f t="shared" si="2"/>
        <v>6</v>
      </c>
      <c r="J6" s="1">
        <f t="shared" si="3"/>
        <v>3</v>
      </c>
      <c r="K6" s="1">
        <v>0</v>
      </c>
      <c r="L6" s="1">
        <v>0</v>
      </c>
      <c r="M6" s="10">
        <f t="shared" si="4"/>
        <v>3.3333333333333333E-2</v>
      </c>
      <c r="N6" s="10">
        <f t="shared" si="5"/>
        <v>3.3333333333333333E-2</v>
      </c>
      <c r="O6" s="10">
        <f t="shared" si="6"/>
        <v>6.6666666666666666E-2</v>
      </c>
      <c r="P6" s="11">
        <f t="shared" si="0"/>
        <v>4.0077972709551657E-2</v>
      </c>
      <c r="Q6" s="11">
        <f t="shared" si="1"/>
        <v>4.3478260869565216E-2</v>
      </c>
      <c r="R6" s="11"/>
    </row>
    <row r="7" spans="1:18" x14ac:dyDescent="0.3">
      <c r="A7" s="1" t="s">
        <v>12</v>
      </c>
      <c r="B7" s="1" t="s">
        <v>13</v>
      </c>
      <c r="C7" s="1" t="s">
        <v>19</v>
      </c>
      <c r="D7" s="1">
        <v>14</v>
      </c>
      <c r="E7" s="1">
        <v>3</v>
      </c>
      <c r="F7" s="1">
        <v>365</v>
      </c>
      <c r="G7" s="1">
        <v>1</v>
      </c>
      <c r="H7" s="1">
        <v>1</v>
      </c>
      <c r="I7" s="1">
        <f t="shared" si="2"/>
        <v>2</v>
      </c>
      <c r="J7" s="1">
        <f t="shared" si="3"/>
        <v>1</v>
      </c>
      <c r="K7" s="1">
        <v>0</v>
      </c>
      <c r="L7" s="1">
        <v>0</v>
      </c>
      <c r="M7" s="10">
        <f t="shared" si="4"/>
        <v>1.1111111111111112E-2</v>
      </c>
      <c r="N7" s="10">
        <f t="shared" si="5"/>
        <v>1.1111111111111112E-2</v>
      </c>
      <c r="O7" s="10">
        <f t="shared" si="6"/>
        <v>2.2222222222222223E-2</v>
      </c>
      <c r="P7" s="11">
        <f t="shared" si="0"/>
        <v>2.8460038986354776E-2</v>
      </c>
      <c r="Q7" s="11">
        <f t="shared" si="1"/>
        <v>1.4492753623188406E-2</v>
      </c>
      <c r="R7" s="11"/>
    </row>
    <row r="8" spans="1:18" x14ac:dyDescent="0.3">
      <c r="A8" s="3" t="s">
        <v>12</v>
      </c>
      <c r="B8" s="3" t="s">
        <v>20</v>
      </c>
      <c r="C8" s="3" t="s">
        <v>21</v>
      </c>
      <c r="D8" s="3">
        <v>39</v>
      </c>
      <c r="E8" s="3">
        <v>33</v>
      </c>
      <c r="F8" s="3">
        <v>2746</v>
      </c>
      <c r="G8" s="3">
        <v>17</v>
      </c>
      <c r="H8" s="3">
        <v>4</v>
      </c>
      <c r="I8" s="3">
        <f t="shared" si="2"/>
        <v>21</v>
      </c>
      <c r="J8" s="3">
        <f t="shared" si="3"/>
        <v>14</v>
      </c>
      <c r="K8" s="3">
        <v>3</v>
      </c>
      <c r="L8" s="3">
        <v>3</v>
      </c>
      <c r="M8" s="4">
        <f t="shared" si="4"/>
        <v>0.18888888888888888</v>
      </c>
      <c r="N8" s="4">
        <f t="shared" si="5"/>
        <v>4.4444444444444446E-2</v>
      </c>
      <c r="O8" s="4">
        <f t="shared" si="6"/>
        <v>0.23333333333333334</v>
      </c>
      <c r="P8" s="5">
        <f>F8/$F$281</f>
        <v>0.44169213447000161</v>
      </c>
      <c r="Q8" s="5">
        <f>I8/$I$281</f>
        <v>0.3888888888888889</v>
      </c>
      <c r="R8" s="5">
        <f t="shared" si="7"/>
        <v>1</v>
      </c>
    </row>
    <row r="9" spans="1:18" x14ac:dyDescent="0.3">
      <c r="A9" s="3" t="s">
        <v>12</v>
      </c>
      <c r="B9" s="3" t="s">
        <v>20</v>
      </c>
      <c r="C9" s="3" t="s">
        <v>22</v>
      </c>
      <c r="D9" s="3">
        <v>26</v>
      </c>
      <c r="E9" s="3">
        <v>10</v>
      </c>
      <c r="F9" s="3">
        <v>1270</v>
      </c>
      <c r="G9" s="3">
        <v>7</v>
      </c>
      <c r="H9" s="3">
        <v>3</v>
      </c>
      <c r="I9" s="3">
        <f t="shared" si="2"/>
        <v>10</v>
      </c>
      <c r="J9" s="3">
        <f t="shared" si="3"/>
        <v>5</v>
      </c>
      <c r="K9" s="3">
        <v>2</v>
      </c>
      <c r="L9" s="3">
        <v>2</v>
      </c>
      <c r="M9" s="4">
        <f t="shared" si="4"/>
        <v>7.7777777777777779E-2</v>
      </c>
      <c r="N9" s="4">
        <f t="shared" si="5"/>
        <v>3.3333333333333333E-2</v>
      </c>
      <c r="O9" s="4">
        <f t="shared" si="6"/>
        <v>0.1111111111111111</v>
      </c>
      <c r="P9" s="5">
        <f>F9/$F$281</f>
        <v>0.20427859096027023</v>
      </c>
      <c r="Q9" s="5">
        <f>I9/$I$281</f>
        <v>0.18518518518518517</v>
      </c>
      <c r="R9" s="5">
        <f t="shared" si="7"/>
        <v>1</v>
      </c>
    </row>
    <row r="10" spans="1:18" x14ac:dyDescent="0.3">
      <c r="A10" s="3" t="s">
        <v>12</v>
      </c>
      <c r="B10" s="3" t="s">
        <v>20</v>
      </c>
      <c r="C10" s="3" t="s">
        <v>23</v>
      </c>
      <c r="D10" s="3">
        <v>14</v>
      </c>
      <c r="E10" s="3">
        <v>13</v>
      </c>
      <c r="F10" s="3">
        <v>1147</v>
      </c>
      <c r="G10" s="3">
        <v>10</v>
      </c>
      <c r="H10" s="3">
        <v>4</v>
      </c>
      <c r="I10" s="3">
        <f t="shared" si="2"/>
        <v>14</v>
      </c>
      <c r="J10" s="3">
        <f t="shared" si="3"/>
        <v>9</v>
      </c>
      <c r="K10" s="3">
        <v>1</v>
      </c>
      <c r="L10" s="3">
        <v>2</v>
      </c>
      <c r="M10" s="4">
        <f t="shared" si="4"/>
        <v>0.1111111111111111</v>
      </c>
      <c r="N10" s="4">
        <f t="shared" si="5"/>
        <v>4.4444444444444446E-2</v>
      </c>
      <c r="O10" s="4">
        <f t="shared" si="6"/>
        <v>0.15555555555555556</v>
      </c>
      <c r="P10" s="5">
        <f>F10/$F$281</f>
        <v>0.18449412900112594</v>
      </c>
      <c r="Q10" s="5">
        <f>I10/$I$281</f>
        <v>0.25925925925925924</v>
      </c>
      <c r="R10" s="5">
        <f t="shared" si="7"/>
        <v>0.5</v>
      </c>
    </row>
    <row r="11" spans="1:18" x14ac:dyDescent="0.3">
      <c r="A11" s="3" t="s">
        <v>12</v>
      </c>
      <c r="B11" s="3" t="s">
        <v>20</v>
      </c>
      <c r="C11" s="3" t="s">
        <v>24</v>
      </c>
      <c r="D11" s="3">
        <v>16</v>
      </c>
      <c r="E11" s="3">
        <v>9</v>
      </c>
      <c r="F11" s="3">
        <v>922</v>
      </c>
      <c r="G11" s="3">
        <v>4</v>
      </c>
      <c r="H11" s="3">
        <v>2</v>
      </c>
      <c r="I11" s="3">
        <f t="shared" si="2"/>
        <v>6</v>
      </c>
      <c r="J11" s="3">
        <f t="shared" si="3"/>
        <v>4</v>
      </c>
      <c r="K11" s="3">
        <v>0</v>
      </c>
      <c r="L11" s="3">
        <v>0</v>
      </c>
      <c r="M11" s="4">
        <f t="shared" si="4"/>
        <v>4.4444444444444446E-2</v>
      </c>
      <c r="N11" s="4">
        <f t="shared" si="5"/>
        <v>2.2222222222222223E-2</v>
      </c>
      <c r="O11" s="4">
        <f t="shared" si="6"/>
        <v>6.6666666666666666E-2</v>
      </c>
      <c r="P11" s="5">
        <f>F11/$F$281</f>
        <v>0.14830304005147177</v>
      </c>
      <c r="Q11" s="5">
        <f>I11/$I$281</f>
        <v>0.1111111111111111</v>
      </c>
      <c r="R11" s="5"/>
    </row>
    <row r="12" spans="1:18" x14ac:dyDescent="0.3">
      <c r="A12" s="3" t="s">
        <v>12</v>
      </c>
      <c r="B12" s="3" t="s">
        <v>20</v>
      </c>
      <c r="C12" s="3" t="s">
        <v>25</v>
      </c>
      <c r="D12" s="3">
        <v>10</v>
      </c>
      <c r="E12" s="3">
        <v>0</v>
      </c>
      <c r="F12" s="3">
        <v>132</v>
      </c>
      <c r="G12" s="3">
        <v>2</v>
      </c>
      <c r="H12" s="3">
        <v>1</v>
      </c>
      <c r="I12" s="3">
        <f t="shared" si="2"/>
        <v>3</v>
      </c>
      <c r="J12" s="3">
        <f t="shared" si="3"/>
        <v>2</v>
      </c>
      <c r="K12" s="3">
        <v>0</v>
      </c>
      <c r="L12" s="3">
        <v>0</v>
      </c>
      <c r="M12" s="4">
        <f t="shared" si="4"/>
        <v>2.2222222222222223E-2</v>
      </c>
      <c r="N12" s="4">
        <f t="shared" si="5"/>
        <v>1.1111111111111112E-2</v>
      </c>
      <c r="O12" s="4">
        <f t="shared" si="6"/>
        <v>3.3333333333333333E-2</v>
      </c>
      <c r="P12" s="5">
        <f>F12/$F$281</f>
        <v>2.1232105517130447E-2</v>
      </c>
      <c r="Q12" s="5">
        <f>I12/$I$281</f>
        <v>5.5555555555555552E-2</v>
      </c>
      <c r="R12" s="5"/>
    </row>
    <row r="13" spans="1:18" x14ac:dyDescent="0.3">
      <c r="A13" s="1" t="s">
        <v>12</v>
      </c>
      <c r="B13" s="1" t="s">
        <v>26</v>
      </c>
      <c r="C13" s="1" t="s">
        <v>27</v>
      </c>
      <c r="D13" s="1">
        <v>51</v>
      </c>
      <c r="E13" s="1">
        <v>42</v>
      </c>
      <c r="F13" s="1">
        <v>3718</v>
      </c>
      <c r="G13" s="1">
        <v>17</v>
      </c>
      <c r="H13" s="1">
        <v>11</v>
      </c>
      <c r="I13" s="1">
        <f t="shared" si="2"/>
        <v>28</v>
      </c>
      <c r="J13" s="1">
        <f t="shared" si="3"/>
        <v>14</v>
      </c>
      <c r="K13" s="1">
        <v>3</v>
      </c>
      <c r="L13" s="1">
        <v>4</v>
      </c>
      <c r="M13" s="10">
        <f t="shared" si="4"/>
        <v>0.18888888888888888</v>
      </c>
      <c r="N13" s="10">
        <f t="shared" si="5"/>
        <v>0.12222222222222222</v>
      </c>
      <c r="O13" s="10">
        <f t="shared" si="6"/>
        <v>0.31111111111111112</v>
      </c>
      <c r="P13" s="11">
        <f t="shared" ref="P13:P18" si="8">F13/$F$282</f>
        <v>0.32446112226197749</v>
      </c>
      <c r="Q13" s="11">
        <f t="shared" ref="Q13:Q18" si="9">I13/$I$282</f>
        <v>0.34146341463414637</v>
      </c>
      <c r="R13" s="11">
        <f t="shared" si="7"/>
        <v>0.75</v>
      </c>
    </row>
    <row r="14" spans="1:18" x14ac:dyDescent="0.3">
      <c r="A14" s="1" t="s">
        <v>12</v>
      </c>
      <c r="B14" s="1" t="s">
        <v>26</v>
      </c>
      <c r="C14" s="1" t="s">
        <v>28</v>
      </c>
      <c r="D14" s="1">
        <v>48</v>
      </c>
      <c r="E14" s="1">
        <v>30</v>
      </c>
      <c r="F14" s="1">
        <v>2795</v>
      </c>
      <c r="G14" s="1">
        <v>15</v>
      </c>
      <c r="H14" s="1">
        <v>6</v>
      </c>
      <c r="I14" s="1">
        <f t="shared" si="2"/>
        <v>21</v>
      </c>
      <c r="J14" s="1">
        <f t="shared" si="3"/>
        <v>15</v>
      </c>
      <c r="K14" s="1">
        <v>0</v>
      </c>
      <c r="L14" s="1">
        <v>0</v>
      </c>
      <c r="M14" s="10">
        <f t="shared" si="4"/>
        <v>0.16666666666666666</v>
      </c>
      <c r="N14" s="10">
        <f t="shared" si="5"/>
        <v>6.6666666666666666E-2</v>
      </c>
      <c r="O14" s="10">
        <f t="shared" si="6"/>
        <v>0.23333333333333334</v>
      </c>
      <c r="P14" s="11">
        <f t="shared" si="8"/>
        <v>0.24391308142071735</v>
      </c>
      <c r="Q14" s="11">
        <f t="shared" si="9"/>
        <v>0.25609756097560976</v>
      </c>
      <c r="R14" s="11"/>
    </row>
    <row r="15" spans="1:18" x14ac:dyDescent="0.3">
      <c r="A15" s="1" t="s">
        <v>12</v>
      </c>
      <c r="B15" s="1" t="s">
        <v>26</v>
      </c>
      <c r="C15" s="1" t="s">
        <v>29</v>
      </c>
      <c r="D15" s="1">
        <v>48</v>
      </c>
      <c r="E15" s="1">
        <v>28</v>
      </c>
      <c r="F15" s="1">
        <v>2508</v>
      </c>
      <c r="G15" s="1">
        <v>7</v>
      </c>
      <c r="H15" s="1">
        <v>5</v>
      </c>
      <c r="I15" s="1">
        <f>SUM(H15+G15)</f>
        <v>12</v>
      </c>
      <c r="J15" s="1">
        <f>G15-K15</f>
        <v>7</v>
      </c>
      <c r="K15" s="1">
        <v>0</v>
      </c>
      <c r="L15" s="1">
        <v>0</v>
      </c>
      <c r="M15" s="10">
        <f t="shared" si="4"/>
        <v>7.7777777777777779E-2</v>
      </c>
      <c r="N15" s="10">
        <f t="shared" si="5"/>
        <v>5.5555555555555552E-2</v>
      </c>
      <c r="O15" s="10">
        <f t="shared" si="6"/>
        <v>0.13333333333333333</v>
      </c>
      <c r="P15" s="11">
        <f t="shared" si="8"/>
        <v>0.21886726590452918</v>
      </c>
      <c r="Q15" s="11">
        <f t="shared" si="9"/>
        <v>0.14634146341463414</v>
      </c>
      <c r="R15" s="11"/>
    </row>
    <row r="16" spans="1:18" x14ac:dyDescent="0.3">
      <c r="A16" s="1" t="s">
        <v>12</v>
      </c>
      <c r="B16" s="1" t="s">
        <v>26</v>
      </c>
      <c r="C16" s="1" t="s">
        <v>30</v>
      </c>
      <c r="D16" s="1">
        <v>25</v>
      </c>
      <c r="E16" s="1">
        <v>11</v>
      </c>
      <c r="F16" s="1">
        <v>1074</v>
      </c>
      <c r="G16" s="1">
        <v>10</v>
      </c>
      <c r="H16" s="1">
        <v>1</v>
      </c>
      <c r="I16" s="1">
        <f t="shared" ref="I16:I35" si="10">SUM(H16+G16)</f>
        <v>11</v>
      </c>
      <c r="J16" s="1">
        <f t="shared" ref="J16:J69" si="11">G16-K16</f>
        <v>10</v>
      </c>
      <c r="K16" s="1">
        <v>0</v>
      </c>
      <c r="L16" s="1">
        <v>0</v>
      </c>
      <c r="M16" s="10">
        <f t="shared" si="4"/>
        <v>0.1111111111111111</v>
      </c>
      <c r="N16" s="10">
        <f t="shared" si="5"/>
        <v>1.1111111111111112E-2</v>
      </c>
      <c r="O16" s="10">
        <f t="shared" si="6"/>
        <v>0.12222222222222222</v>
      </c>
      <c r="P16" s="11">
        <f t="shared" si="8"/>
        <v>9.3725455973470637E-2</v>
      </c>
      <c r="Q16" s="11">
        <f t="shared" si="9"/>
        <v>0.13414634146341464</v>
      </c>
      <c r="R16" s="11"/>
    </row>
    <row r="17" spans="1:18" x14ac:dyDescent="0.3">
      <c r="A17" s="1" t="s">
        <v>12</v>
      </c>
      <c r="B17" s="1" t="s">
        <v>26</v>
      </c>
      <c r="C17" s="1" t="s">
        <v>22</v>
      </c>
      <c r="D17" s="1">
        <v>18</v>
      </c>
      <c r="E17" s="1">
        <v>10</v>
      </c>
      <c r="F17" s="1">
        <v>932</v>
      </c>
      <c r="G17" s="1">
        <v>5</v>
      </c>
      <c r="H17" s="1">
        <v>3</v>
      </c>
      <c r="I17" s="1">
        <f t="shared" si="10"/>
        <v>8</v>
      </c>
      <c r="J17" s="1">
        <f t="shared" si="11"/>
        <v>5</v>
      </c>
      <c r="K17" s="1">
        <v>0</v>
      </c>
      <c r="L17" s="1">
        <v>0</v>
      </c>
      <c r="M17" s="10">
        <f t="shared" si="4"/>
        <v>5.5555555555555552E-2</v>
      </c>
      <c r="N17" s="10">
        <f t="shared" si="5"/>
        <v>3.3333333333333333E-2</v>
      </c>
      <c r="O17" s="10">
        <f t="shared" si="6"/>
        <v>8.8888888888888892E-2</v>
      </c>
      <c r="P17" s="11">
        <f t="shared" si="8"/>
        <v>8.1333449690199844E-2</v>
      </c>
      <c r="Q17" s="11">
        <f t="shared" si="9"/>
        <v>9.7560975609756101E-2</v>
      </c>
      <c r="R17" s="11"/>
    </row>
    <row r="18" spans="1:18" x14ac:dyDescent="0.3">
      <c r="A18" s="1" t="s">
        <v>12</v>
      </c>
      <c r="B18" s="1" t="s">
        <v>26</v>
      </c>
      <c r="C18" s="1" t="s">
        <v>31</v>
      </c>
      <c r="D18" s="1">
        <v>5</v>
      </c>
      <c r="E18" s="1">
        <v>5</v>
      </c>
      <c r="F18" s="1">
        <v>432</v>
      </c>
      <c r="G18" s="1">
        <v>1</v>
      </c>
      <c r="H18" s="1">
        <v>1</v>
      </c>
      <c r="I18" s="1">
        <f t="shared" si="10"/>
        <v>2</v>
      </c>
      <c r="J18" s="1">
        <f t="shared" si="11"/>
        <v>1</v>
      </c>
      <c r="K18" s="1">
        <v>0</v>
      </c>
      <c r="L18" s="1">
        <v>0</v>
      </c>
      <c r="M18" s="10">
        <f t="shared" si="4"/>
        <v>1.1111111111111112E-2</v>
      </c>
      <c r="N18" s="10">
        <f t="shared" si="5"/>
        <v>1.1111111111111112E-2</v>
      </c>
      <c r="O18" s="10">
        <f t="shared" si="6"/>
        <v>2.2222222222222223E-2</v>
      </c>
      <c r="P18" s="11">
        <f t="shared" si="8"/>
        <v>3.7699624749105508E-2</v>
      </c>
      <c r="Q18" s="11">
        <f t="shared" si="9"/>
        <v>2.4390243902439025E-2</v>
      </c>
      <c r="R18" s="11"/>
    </row>
    <row r="19" spans="1:18" x14ac:dyDescent="0.3">
      <c r="A19" s="3" t="s">
        <v>12</v>
      </c>
      <c r="B19" s="3" t="s">
        <v>32</v>
      </c>
      <c r="C19" s="3" t="s">
        <v>33</v>
      </c>
      <c r="D19" s="3">
        <v>46</v>
      </c>
      <c r="E19" s="3">
        <v>39</v>
      </c>
      <c r="F19" s="3">
        <v>3561</v>
      </c>
      <c r="G19" s="3">
        <v>23</v>
      </c>
      <c r="H19" s="3">
        <v>14</v>
      </c>
      <c r="I19" s="3">
        <f t="shared" si="10"/>
        <v>37</v>
      </c>
      <c r="J19" s="3">
        <f t="shared" si="11"/>
        <v>22</v>
      </c>
      <c r="K19" s="3">
        <v>1</v>
      </c>
      <c r="L19" s="3">
        <v>1</v>
      </c>
      <c r="M19" s="4">
        <f t="shared" si="4"/>
        <v>0.25555555555555554</v>
      </c>
      <c r="N19" s="4">
        <f t="shared" si="5"/>
        <v>0.15555555555555556</v>
      </c>
      <c r="O19" s="4">
        <f t="shared" si="6"/>
        <v>0.41111111111111109</v>
      </c>
      <c r="P19" s="5">
        <f>F19/$F$283</f>
        <v>0.22975675850054841</v>
      </c>
      <c r="Q19" s="5">
        <f>I19/$I$283</f>
        <v>0.25342465753424659</v>
      </c>
      <c r="R19" s="5">
        <f t="shared" si="7"/>
        <v>1</v>
      </c>
    </row>
    <row r="20" spans="1:18" x14ac:dyDescent="0.3">
      <c r="A20" s="3" t="s">
        <v>12</v>
      </c>
      <c r="B20" s="3" t="s">
        <v>32</v>
      </c>
      <c r="C20" s="3" t="s">
        <v>34</v>
      </c>
      <c r="D20" s="3">
        <v>49</v>
      </c>
      <c r="E20" s="3">
        <v>41</v>
      </c>
      <c r="F20" s="3">
        <v>3612</v>
      </c>
      <c r="G20" s="3">
        <v>14</v>
      </c>
      <c r="H20" s="3">
        <v>19</v>
      </c>
      <c r="I20" s="3">
        <f t="shared" si="10"/>
        <v>33</v>
      </c>
      <c r="J20" s="3">
        <f t="shared" si="11"/>
        <v>14</v>
      </c>
      <c r="K20" s="3">
        <v>0</v>
      </c>
      <c r="L20" s="3">
        <v>0</v>
      </c>
      <c r="M20" s="4">
        <f t="shared" si="4"/>
        <v>0.15555555555555556</v>
      </c>
      <c r="N20" s="4">
        <f t="shared" si="5"/>
        <v>0.21111111111111111</v>
      </c>
      <c r="O20" s="4">
        <f t="shared" si="6"/>
        <v>0.36666666666666664</v>
      </c>
      <c r="P20" s="5">
        <f>F20/$F$283</f>
        <v>0.23304729337376606</v>
      </c>
      <c r="Q20" s="5">
        <f>I20/$I$283</f>
        <v>0.22602739726027396</v>
      </c>
      <c r="R20" s="5"/>
    </row>
    <row r="21" spans="1:18" x14ac:dyDescent="0.3">
      <c r="A21" s="3" t="s">
        <v>12</v>
      </c>
      <c r="B21" s="3" t="s">
        <v>32</v>
      </c>
      <c r="C21" s="3" t="s">
        <v>35</v>
      </c>
      <c r="D21" s="3">
        <v>39</v>
      </c>
      <c r="E21" s="3">
        <v>32</v>
      </c>
      <c r="F21" s="3">
        <v>2926</v>
      </c>
      <c r="G21" s="3">
        <v>30</v>
      </c>
      <c r="H21" s="3">
        <v>7</v>
      </c>
      <c r="I21" s="3">
        <f t="shared" si="10"/>
        <v>37</v>
      </c>
      <c r="J21" s="3">
        <f t="shared" si="11"/>
        <v>25</v>
      </c>
      <c r="K21" s="3">
        <v>5</v>
      </c>
      <c r="L21" s="3">
        <v>6</v>
      </c>
      <c r="M21" s="4">
        <f t="shared" si="4"/>
        <v>0.33333333333333331</v>
      </c>
      <c r="N21" s="4">
        <f t="shared" si="5"/>
        <v>7.7777777777777779E-2</v>
      </c>
      <c r="O21" s="4">
        <f t="shared" si="6"/>
        <v>0.41111111111111109</v>
      </c>
      <c r="P21" s="5">
        <f>F21/$F$283</f>
        <v>0.18878637331440737</v>
      </c>
      <c r="Q21" s="5">
        <f>I21/$I$283</f>
        <v>0.25342465753424659</v>
      </c>
      <c r="R21" s="5">
        <f t="shared" si="7"/>
        <v>0.83333333333333337</v>
      </c>
    </row>
    <row r="22" spans="1:18" x14ac:dyDescent="0.3">
      <c r="A22" s="3" t="s">
        <v>12</v>
      </c>
      <c r="B22" s="3" t="s">
        <v>32</v>
      </c>
      <c r="C22" s="3" t="s">
        <v>36</v>
      </c>
      <c r="D22" s="3">
        <v>42</v>
      </c>
      <c r="E22" s="3">
        <v>29</v>
      </c>
      <c r="F22" s="3">
        <v>2591</v>
      </c>
      <c r="G22" s="3">
        <v>17</v>
      </c>
      <c r="H22" s="3">
        <v>3</v>
      </c>
      <c r="I22" s="3">
        <f t="shared" si="10"/>
        <v>20</v>
      </c>
      <c r="J22" s="3">
        <f t="shared" si="11"/>
        <v>17</v>
      </c>
      <c r="K22" s="3">
        <v>0</v>
      </c>
      <c r="L22" s="3">
        <v>2</v>
      </c>
      <c r="M22" s="4">
        <f t="shared" si="4"/>
        <v>0.18888888888888888</v>
      </c>
      <c r="N22" s="4">
        <f t="shared" si="5"/>
        <v>3.3333333333333333E-2</v>
      </c>
      <c r="O22" s="4">
        <f t="shared" si="6"/>
        <v>0.22222222222222221</v>
      </c>
      <c r="P22" s="5">
        <f>F22/$F$283</f>
        <v>0.1671720756177818</v>
      </c>
      <c r="Q22" s="5">
        <f>I22/$I$283</f>
        <v>0.13698630136986301</v>
      </c>
      <c r="R22" s="5">
        <f t="shared" si="7"/>
        <v>0</v>
      </c>
    </row>
    <row r="23" spans="1:18" x14ac:dyDescent="0.3">
      <c r="A23" s="3" t="s">
        <v>12</v>
      </c>
      <c r="B23" s="3" t="s">
        <v>32</v>
      </c>
      <c r="C23" s="3" t="s">
        <v>37</v>
      </c>
      <c r="D23" s="3">
        <v>53</v>
      </c>
      <c r="E23" s="3">
        <v>28</v>
      </c>
      <c r="F23" s="3">
        <v>2809</v>
      </c>
      <c r="G23" s="3">
        <v>9</v>
      </c>
      <c r="H23" s="3">
        <v>10</v>
      </c>
      <c r="I23" s="3">
        <f t="shared" si="10"/>
        <v>19</v>
      </c>
      <c r="J23" s="3">
        <f t="shared" si="11"/>
        <v>9</v>
      </c>
      <c r="K23" s="3">
        <v>0</v>
      </c>
      <c r="L23" s="3">
        <v>0</v>
      </c>
      <c r="M23" s="4">
        <f t="shared" si="4"/>
        <v>0.1</v>
      </c>
      <c r="N23" s="4">
        <f t="shared" si="5"/>
        <v>0.1111111111111111</v>
      </c>
      <c r="O23" s="4">
        <f t="shared" si="6"/>
        <v>0.21111111111111111</v>
      </c>
      <c r="P23" s="5">
        <f>F23/$F$283</f>
        <v>0.18123749919349635</v>
      </c>
      <c r="Q23" s="5">
        <f>I23/$I$283</f>
        <v>0.13013698630136986</v>
      </c>
      <c r="R23" s="5"/>
    </row>
    <row r="24" spans="1:18" x14ac:dyDescent="0.3">
      <c r="A24" s="1" t="s">
        <v>12</v>
      </c>
      <c r="B24" s="1" t="s">
        <v>38</v>
      </c>
      <c r="C24" s="1" t="s">
        <v>39</v>
      </c>
      <c r="D24" s="1">
        <v>51</v>
      </c>
      <c r="E24" s="1">
        <v>45</v>
      </c>
      <c r="F24" s="1">
        <v>4073</v>
      </c>
      <c r="G24" s="1">
        <v>27</v>
      </c>
      <c r="H24" s="1">
        <v>9</v>
      </c>
      <c r="I24" s="1">
        <f t="shared" si="10"/>
        <v>36</v>
      </c>
      <c r="J24" s="1">
        <f t="shared" si="11"/>
        <v>27</v>
      </c>
      <c r="K24" s="1">
        <v>0</v>
      </c>
      <c r="L24" s="1">
        <v>1</v>
      </c>
      <c r="M24" s="10">
        <f t="shared" si="4"/>
        <v>0.3</v>
      </c>
      <c r="N24" s="10">
        <f t="shared" si="5"/>
        <v>0.1</v>
      </c>
      <c r="O24" s="10">
        <f t="shared" si="6"/>
        <v>0.4</v>
      </c>
      <c r="P24" s="11">
        <f t="shared" ref="P24:P30" si="12">F24/$F$284</f>
        <v>0.25251084934903906</v>
      </c>
      <c r="Q24" s="11">
        <f t="shared" ref="Q24:Q30" si="13">I24/$I$284</f>
        <v>0.31304347826086959</v>
      </c>
      <c r="R24" s="11">
        <f t="shared" si="7"/>
        <v>0</v>
      </c>
    </row>
    <row r="25" spans="1:18" x14ac:dyDescent="0.3">
      <c r="A25" s="1" t="s">
        <v>12</v>
      </c>
      <c r="B25" s="1" t="s">
        <v>38</v>
      </c>
      <c r="C25" s="1" t="s">
        <v>40</v>
      </c>
      <c r="D25" s="1">
        <v>52</v>
      </c>
      <c r="E25" s="1">
        <v>26</v>
      </c>
      <c r="F25" s="1">
        <v>2683</v>
      </c>
      <c r="G25" s="1">
        <v>13</v>
      </c>
      <c r="H25" s="1">
        <v>8</v>
      </c>
      <c r="I25" s="1">
        <f t="shared" si="10"/>
        <v>21</v>
      </c>
      <c r="J25" s="1">
        <f t="shared" si="11"/>
        <v>13</v>
      </c>
      <c r="K25" s="1">
        <v>0</v>
      </c>
      <c r="L25" s="1">
        <v>0</v>
      </c>
      <c r="M25" s="10">
        <f t="shared" si="4"/>
        <v>0.14444444444444443</v>
      </c>
      <c r="N25" s="10">
        <f t="shared" si="5"/>
        <v>8.8888888888888892E-2</v>
      </c>
      <c r="O25" s="10">
        <f t="shared" si="6"/>
        <v>0.23333333333333334</v>
      </c>
      <c r="P25" s="11">
        <f t="shared" si="12"/>
        <v>0.16633601983880966</v>
      </c>
      <c r="Q25" s="11">
        <f t="shared" si="13"/>
        <v>0.18260869565217391</v>
      </c>
      <c r="R25" s="11"/>
    </row>
    <row r="26" spans="1:18" x14ac:dyDescent="0.3">
      <c r="A26" s="1" t="s">
        <v>12</v>
      </c>
      <c r="B26" s="1" t="s">
        <v>38</v>
      </c>
      <c r="C26" s="1" t="s">
        <v>41</v>
      </c>
      <c r="D26" s="1">
        <v>40</v>
      </c>
      <c r="E26" s="1">
        <v>33</v>
      </c>
      <c r="F26" s="1">
        <v>2666</v>
      </c>
      <c r="G26" s="1">
        <v>3</v>
      </c>
      <c r="H26" s="1">
        <v>7</v>
      </c>
      <c r="I26" s="1">
        <f t="shared" si="10"/>
        <v>10</v>
      </c>
      <c r="J26" s="1">
        <f t="shared" si="11"/>
        <v>3</v>
      </c>
      <c r="K26" s="1">
        <v>0</v>
      </c>
      <c r="L26" s="1">
        <v>0</v>
      </c>
      <c r="M26" s="10">
        <f t="shared" si="4"/>
        <v>3.3333333333333333E-2</v>
      </c>
      <c r="N26" s="10">
        <f t="shared" si="5"/>
        <v>7.7777777777777779E-2</v>
      </c>
      <c r="O26" s="10">
        <f t="shared" si="6"/>
        <v>0.1111111111111111</v>
      </c>
      <c r="P26" s="11">
        <f t="shared" si="12"/>
        <v>0.16528208307501549</v>
      </c>
      <c r="Q26" s="11">
        <f t="shared" si="13"/>
        <v>8.6956521739130432E-2</v>
      </c>
      <c r="R26" s="11"/>
    </row>
    <row r="27" spans="1:18" x14ac:dyDescent="0.3">
      <c r="A27" s="1" t="s">
        <v>12</v>
      </c>
      <c r="B27" s="1" t="s">
        <v>38</v>
      </c>
      <c r="C27" s="1" t="s">
        <v>42</v>
      </c>
      <c r="D27" s="1">
        <v>48</v>
      </c>
      <c r="E27" s="1">
        <v>30</v>
      </c>
      <c r="F27" s="1">
        <v>2647</v>
      </c>
      <c r="G27" s="1">
        <v>13</v>
      </c>
      <c r="H27" s="1">
        <v>6</v>
      </c>
      <c r="I27" s="1">
        <f t="shared" si="10"/>
        <v>19</v>
      </c>
      <c r="J27" s="1">
        <f t="shared" si="11"/>
        <v>13</v>
      </c>
      <c r="K27" s="1">
        <v>0</v>
      </c>
      <c r="L27" s="1">
        <v>0</v>
      </c>
      <c r="M27" s="10">
        <f t="shared" si="4"/>
        <v>0.14444444444444443</v>
      </c>
      <c r="N27" s="10">
        <f t="shared" si="5"/>
        <v>6.6666666666666666E-2</v>
      </c>
      <c r="O27" s="10">
        <f t="shared" si="6"/>
        <v>0.21111111111111111</v>
      </c>
      <c r="P27" s="11">
        <f t="shared" si="12"/>
        <v>0.16410415375077494</v>
      </c>
      <c r="Q27" s="11">
        <f t="shared" si="13"/>
        <v>0.16521739130434782</v>
      </c>
      <c r="R27" s="11"/>
    </row>
    <row r="28" spans="1:18" x14ac:dyDescent="0.3">
      <c r="A28" s="1" t="s">
        <v>12</v>
      </c>
      <c r="B28" s="1" t="s">
        <v>38</v>
      </c>
      <c r="C28" s="1" t="s">
        <v>43</v>
      </c>
      <c r="D28" s="1">
        <v>45</v>
      </c>
      <c r="E28" s="1">
        <v>26</v>
      </c>
      <c r="F28" s="1">
        <v>2339</v>
      </c>
      <c r="G28" s="1">
        <v>11</v>
      </c>
      <c r="H28" s="1">
        <v>9</v>
      </c>
      <c r="I28" s="1">
        <f t="shared" si="10"/>
        <v>20</v>
      </c>
      <c r="J28" s="1">
        <f t="shared" si="11"/>
        <v>9</v>
      </c>
      <c r="K28" s="1">
        <v>2</v>
      </c>
      <c r="L28" s="1">
        <v>3</v>
      </c>
      <c r="M28" s="10">
        <f t="shared" si="4"/>
        <v>0.12222222222222222</v>
      </c>
      <c r="N28" s="10">
        <f t="shared" si="5"/>
        <v>0.1</v>
      </c>
      <c r="O28" s="10">
        <f t="shared" si="6"/>
        <v>0.22222222222222221</v>
      </c>
      <c r="P28" s="11">
        <f t="shared" si="12"/>
        <v>0.14500929944203347</v>
      </c>
      <c r="Q28" s="11">
        <f t="shared" si="13"/>
        <v>0.17391304347826086</v>
      </c>
      <c r="R28" s="11">
        <f t="shared" si="7"/>
        <v>0.66666666666666663</v>
      </c>
    </row>
    <row r="29" spans="1:18" x14ac:dyDescent="0.3">
      <c r="A29" s="1" t="s">
        <v>12</v>
      </c>
      <c r="B29" s="1" t="s">
        <v>38</v>
      </c>
      <c r="C29" s="1" t="s">
        <v>44</v>
      </c>
      <c r="D29" s="1">
        <v>18</v>
      </c>
      <c r="E29" s="1">
        <v>18</v>
      </c>
      <c r="F29" s="1">
        <v>1532</v>
      </c>
      <c r="G29" s="1">
        <v>3</v>
      </c>
      <c r="H29" s="1">
        <v>5</v>
      </c>
      <c r="I29" s="1">
        <f t="shared" si="10"/>
        <v>8</v>
      </c>
      <c r="J29" s="1">
        <f t="shared" si="11"/>
        <v>3</v>
      </c>
      <c r="K29" s="1">
        <v>0</v>
      </c>
      <c r="L29" s="1">
        <v>1</v>
      </c>
      <c r="M29" s="10">
        <f t="shared" si="4"/>
        <v>3.3333333333333333E-2</v>
      </c>
      <c r="N29" s="10">
        <f t="shared" si="5"/>
        <v>5.5555555555555552E-2</v>
      </c>
      <c r="O29" s="10">
        <f t="shared" si="6"/>
        <v>8.8888888888888892E-2</v>
      </c>
      <c r="P29" s="11">
        <f t="shared" si="12"/>
        <v>9.4978301301921891E-2</v>
      </c>
      <c r="Q29" s="11">
        <f t="shared" si="13"/>
        <v>6.9565217391304349E-2</v>
      </c>
      <c r="R29" s="11">
        <f t="shared" si="7"/>
        <v>0</v>
      </c>
    </row>
    <row r="30" spans="1:18" x14ac:dyDescent="0.3">
      <c r="A30" s="1" t="s">
        <v>12</v>
      </c>
      <c r="B30" s="1" t="s">
        <v>38</v>
      </c>
      <c r="C30" s="1" t="s">
        <v>45</v>
      </c>
      <c r="D30" s="1">
        <v>7</v>
      </c>
      <c r="E30" s="1">
        <v>2</v>
      </c>
      <c r="F30" s="1">
        <v>190</v>
      </c>
      <c r="G30" s="1">
        <v>1</v>
      </c>
      <c r="H30" s="1">
        <v>0</v>
      </c>
      <c r="I30" s="1">
        <f t="shared" si="10"/>
        <v>1</v>
      </c>
      <c r="J30" s="1">
        <f t="shared" si="11"/>
        <v>1</v>
      </c>
      <c r="K30" s="1">
        <v>0</v>
      </c>
      <c r="L30" s="1">
        <v>0</v>
      </c>
      <c r="M30" s="10">
        <f t="shared" si="4"/>
        <v>1.1111111111111112E-2</v>
      </c>
      <c r="N30" s="10">
        <f t="shared" si="5"/>
        <v>0</v>
      </c>
      <c r="O30" s="10">
        <f t="shared" si="6"/>
        <v>1.1111111111111112E-2</v>
      </c>
      <c r="P30" s="11">
        <f t="shared" si="12"/>
        <v>1.1779293242405457E-2</v>
      </c>
      <c r="Q30" s="11">
        <f t="shared" si="13"/>
        <v>8.6956521739130436E-3</v>
      </c>
      <c r="R30" s="11"/>
    </row>
    <row r="31" spans="1:18" x14ac:dyDescent="0.3">
      <c r="A31" s="3" t="s">
        <v>12</v>
      </c>
      <c r="B31" s="3" t="s">
        <v>46</v>
      </c>
      <c r="C31" s="3" t="s">
        <v>47</v>
      </c>
      <c r="D31" s="3">
        <v>48</v>
      </c>
      <c r="E31" s="3">
        <v>45</v>
      </c>
      <c r="F31" s="3">
        <v>3946</v>
      </c>
      <c r="G31" s="3">
        <v>41</v>
      </c>
      <c r="H31" s="3">
        <v>4</v>
      </c>
      <c r="I31" s="3">
        <f t="shared" si="10"/>
        <v>45</v>
      </c>
      <c r="J31" s="3">
        <f t="shared" si="11"/>
        <v>38</v>
      </c>
      <c r="K31" s="3">
        <v>3</v>
      </c>
      <c r="L31" s="3">
        <v>4</v>
      </c>
      <c r="M31" s="4">
        <f t="shared" si="4"/>
        <v>0.45555555555555555</v>
      </c>
      <c r="N31" s="4">
        <f t="shared" si="5"/>
        <v>4.4444444444444446E-2</v>
      </c>
      <c r="O31" s="4">
        <f t="shared" si="6"/>
        <v>0.5</v>
      </c>
      <c r="P31" s="5">
        <f>F31/$F$285</f>
        <v>0.31469814179759154</v>
      </c>
      <c r="Q31" s="5">
        <f>I31/$I$285</f>
        <v>0.39823008849557523</v>
      </c>
      <c r="R31" s="5">
        <f t="shared" si="7"/>
        <v>0.75</v>
      </c>
    </row>
    <row r="32" spans="1:18" x14ac:dyDescent="0.3">
      <c r="A32" s="3" t="s">
        <v>12</v>
      </c>
      <c r="B32" s="3" t="s">
        <v>46</v>
      </c>
      <c r="C32" s="3" t="s">
        <v>48</v>
      </c>
      <c r="D32" s="3">
        <v>50</v>
      </c>
      <c r="E32" s="3">
        <v>42</v>
      </c>
      <c r="F32" s="3">
        <v>3773</v>
      </c>
      <c r="G32" s="3">
        <v>14</v>
      </c>
      <c r="H32" s="3">
        <v>14</v>
      </c>
      <c r="I32" s="3">
        <f t="shared" si="10"/>
        <v>28</v>
      </c>
      <c r="J32" s="3">
        <f t="shared" si="11"/>
        <v>14</v>
      </c>
      <c r="K32" s="3">
        <v>0</v>
      </c>
      <c r="L32" s="3">
        <v>0</v>
      </c>
      <c r="M32" s="4">
        <f t="shared" si="4"/>
        <v>0.15555555555555556</v>
      </c>
      <c r="N32" s="4">
        <f t="shared" si="5"/>
        <v>0.15555555555555556</v>
      </c>
      <c r="O32" s="4">
        <f t="shared" si="6"/>
        <v>0.31111111111111112</v>
      </c>
      <c r="P32" s="5">
        <f>F32/$F$285</f>
        <v>0.30090118829252732</v>
      </c>
      <c r="Q32" s="5">
        <f>I32/$I$285</f>
        <v>0.24778761061946902</v>
      </c>
      <c r="R32" s="5"/>
    </row>
    <row r="33" spans="1:18" x14ac:dyDescent="0.3">
      <c r="A33" s="3" t="s">
        <v>12</v>
      </c>
      <c r="B33" s="3" t="s">
        <v>46</v>
      </c>
      <c r="C33" s="3" t="s">
        <v>49</v>
      </c>
      <c r="D33" s="3">
        <v>53</v>
      </c>
      <c r="E33" s="3">
        <v>39</v>
      </c>
      <c r="F33" s="3">
        <v>3367</v>
      </c>
      <c r="G33" s="3">
        <v>18</v>
      </c>
      <c r="H33" s="3">
        <v>11</v>
      </c>
      <c r="I33" s="3">
        <f t="shared" si="10"/>
        <v>29</v>
      </c>
      <c r="J33" s="3">
        <f t="shared" si="11"/>
        <v>18</v>
      </c>
      <c r="K33" s="3">
        <v>0</v>
      </c>
      <c r="L33" s="3">
        <v>0</v>
      </c>
      <c r="M33" s="4">
        <f t="shared" si="4"/>
        <v>0.2</v>
      </c>
      <c r="N33" s="4">
        <f t="shared" si="5"/>
        <v>0.12222222222222222</v>
      </c>
      <c r="O33" s="4">
        <f t="shared" si="6"/>
        <v>0.32222222222222224</v>
      </c>
      <c r="P33" s="5">
        <f>F33/$F$285</f>
        <v>0.26852221070260784</v>
      </c>
      <c r="Q33" s="5">
        <f>I33/$I$285</f>
        <v>0.25663716814159293</v>
      </c>
      <c r="R33" s="5"/>
    </row>
    <row r="34" spans="1:18" x14ac:dyDescent="0.3">
      <c r="A34" s="3" t="s">
        <v>12</v>
      </c>
      <c r="B34" s="3" t="s">
        <v>46</v>
      </c>
      <c r="C34" s="3" t="s">
        <v>50</v>
      </c>
      <c r="D34" s="3">
        <v>31</v>
      </c>
      <c r="E34" s="3">
        <v>10</v>
      </c>
      <c r="F34" s="3">
        <v>996</v>
      </c>
      <c r="G34" s="3">
        <v>5</v>
      </c>
      <c r="H34" s="3">
        <v>1</v>
      </c>
      <c r="I34" s="3">
        <f t="shared" si="10"/>
        <v>6</v>
      </c>
      <c r="J34" s="3">
        <f t="shared" si="11"/>
        <v>5</v>
      </c>
      <c r="K34" s="3">
        <v>0</v>
      </c>
      <c r="L34" s="3">
        <v>0</v>
      </c>
      <c r="M34" s="4">
        <f t="shared" si="4"/>
        <v>5.5555555555555552E-2</v>
      </c>
      <c r="N34" s="4">
        <f t="shared" si="5"/>
        <v>1.1111111111111112E-2</v>
      </c>
      <c r="O34" s="4">
        <f t="shared" si="6"/>
        <v>6.6666666666666666E-2</v>
      </c>
      <c r="P34" s="5">
        <f>F34/$F$285</f>
        <v>7.9432171624531464E-2</v>
      </c>
      <c r="Q34" s="5">
        <f>I34/$I$285</f>
        <v>5.3097345132743362E-2</v>
      </c>
      <c r="R34" s="5"/>
    </row>
    <row r="35" spans="1:18" x14ac:dyDescent="0.3">
      <c r="A35" s="3" t="s">
        <v>12</v>
      </c>
      <c r="B35" s="3" t="s">
        <v>46</v>
      </c>
      <c r="C35" s="3" t="s">
        <v>51</v>
      </c>
      <c r="D35" s="3">
        <v>11</v>
      </c>
      <c r="E35" s="3">
        <v>5</v>
      </c>
      <c r="F35" s="3">
        <v>457</v>
      </c>
      <c r="G35" s="3">
        <v>1</v>
      </c>
      <c r="H35" s="3">
        <v>4</v>
      </c>
      <c r="I35" s="3">
        <f t="shared" si="10"/>
        <v>5</v>
      </c>
      <c r="J35" s="3">
        <f t="shared" si="11"/>
        <v>1</v>
      </c>
      <c r="K35" s="3">
        <v>0</v>
      </c>
      <c r="L35" s="3">
        <v>0</v>
      </c>
      <c r="M35" s="4">
        <f t="shared" si="4"/>
        <v>1.1111111111111112E-2</v>
      </c>
      <c r="N35" s="4">
        <f t="shared" si="5"/>
        <v>4.4444444444444446E-2</v>
      </c>
      <c r="O35" s="4">
        <f t="shared" si="6"/>
        <v>5.5555555555555552E-2</v>
      </c>
      <c r="P35" s="5">
        <f>F35/$F$285</f>
        <v>3.6446287582741849E-2</v>
      </c>
      <c r="Q35" s="5">
        <f>I35/$I$285</f>
        <v>4.4247787610619468E-2</v>
      </c>
      <c r="R35" s="5"/>
    </row>
    <row r="36" spans="1:18" x14ac:dyDescent="0.3">
      <c r="A36" s="1" t="s">
        <v>53</v>
      </c>
      <c r="B36" s="1" t="s">
        <v>13</v>
      </c>
      <c r="C36" s="1" t="s">
        <v>15</v>
      </c>
      <c r="D36" s="1">
        <v>52</v>
      </c>
      <c r="E36" s="1">
        <v>49</v>
      </c>
      <c r="F36" s="1">
        <v>4331</v>
      </c>
      <c r="G36" s="1">
        <v>27</v>
      </c>
      <c r="H36" s="1">
        <v>10</v>
      </c>
      <c r="I36" s="1">
        <f t="shared" ref="I36:I69" si="14">SUM(G36,H36)</f>
        <v>37</v>
      </c>
      <c r="J36" s="1">
        <f t="shared" si="11"/>
        <v>22</v>
      </c>
      <c r="K36" s="1">
        <v>5</v>
      </c>
      <c r="L36" s="1">
        <v>5</v>
      </c>
      <c r="M36" s="10">
        <f t="shared" si="4"/>
        <v>0.3</v>
      </c>
      <c r="N36" s="10">
        <f t="shared" si="5"/>
        <v>0.1111111111111111</v>
      </c>
      <c r="O36" s="10">
        <f t="shared" si="6"/>
        <v>0.41111111111111109</v>
      </c>
      <c r="P36" s="11">
        <f>F36/$F$286</f>
        <v>0.32471135102714049</v>
      </c>
      <c r="Q36" s="11">
        <f>I36/$I$286</f>
        <v>0.36274509803921567</v>
      </c>
      <c r="R36" s="11">
        <f t="shared" si="7"/>
        <v>1</v>
      </c>
    </row>
    <row r="37" spans="1:18" x14ac:dyDescent="0.3">
      <c r="A37" s="1" t="s">
        <v>53</v>
      </c>
      <c r="B37" s="1" t="s">
        <v>13</v>
      </c>
      <c r="C37" s="1" t="s">
        <v>52</v>
      </c>
      <c r="D37" s="1">
        <v>21</v>
      </c>
      <c r="E37" s="1">
        <v>7</v>
      </c>
      <c r="F37" s="1">
        <v>682</v>
      </c>
      <c r="G37" s="1">
        <v>7</v>
      </c>
      <c r="H37" s="1">
        <v>1</v>
      </c>
      <c r="I37" s="1">
        <f t="shared" si="14"/>
        <v>8</v>
      </c>
      <c r="J37" s="1">
        <f t="shared" si="11"/>
        <v>7</v>
      </c>
      <c r="K37" s="1">
        <v>0</v>
      </c>
      <c r="L37" s="1">
        <v>0</v>
      </c>
      <c r="M37" s="10">
        <f t="shared" si="4"/>
        <v>7.7777777777777779E-2</v>
      </c>
      <c r="N37" s="10">
        <f t="shared" si="5"/>
        <v>1.1111111111111112E-2</v>
      </c>
      <c r="O37" s="10">
        <f t="shared" si="6"/>
        <v>8.8888888888888892E-2</v>
      </c>
      <c r="P37" s="11">
        <f>F37/$F$286</f>
        <v>5.1132103763682712E-2</v>
      </c>
      <c r="Q37" s="11">
        <f>I37/$I$286</f>
        <v>7.8431372549019607E-2</v>
      </c>
      <c r="R37" s="11"/>
    </row>
    <row r="38" spans="1:18" x14ac:dyDescent="0.3">
      <c r="A38" s="1" t="s">
        <v>53</v>
      </c>
      <c r="B38" s="1" t="s">
        <v>13</v>
      </c>
      <c r="C38" s="1" t="s">
        <v>16</v>
      </c>
      <c r="D38" s="1">
        <v>50</v>
      </c>
      <c r="E38" s="1">
        <v>49</v>
      </c>
      <c r="F38" s="1">
        <v>4295</v>
      </c>
      <c r="G38" s="1">
        <v>26</v>
      </c>
      <c r="H38" s="1">
        <v>2</v>
      </c>
      <c r="I38" s="1">
        <f t="shared" si="14"/>
        <v>28</v>
      </c>
      <c r="J38" s="1">
        <f t="shared" si="11"/>
        <v>26</v>
      </c>
      <c r="K38" s="1">
        <v>0</v>
      </c>
      <c r="L38" s="1">
        <v>1</v>
      </c>
      <c r="M38" s="10">
        <f t="shared" si="4"/>
        <v>0.28888888888888886</v>
      </c>
      <c r="N38" s="10">
        <f t="shared" si="5"/>
        <v>2.2222222222222223E-2</v>
      </c>
      <c r="O38" s="10">
        <f t="shared" si="6"/>
        <v>0.31111111111111112</v>
      </c>
      <c r="P38" s="11">
        <f>F38/$F$286</f>
        <v>0.32201229569650625</v>
      </c>
      <c r="Q38" s="11">
        <f>I38/$I$286</f>
        <v>0.27450980392156865</v>
      </c>
      <c r="R38" s="11">
        <f>K38/L38</f>
        <v>0</v>
      </c>
    </row>
    <row r="39" spans="1:18" x14ac:dyDescent="0.3">
      <c r="A39" s="1" t="s">
        <v>53</v>
      </c>
      <c r="B39" s="1" t="s">
        <v>13</v>
      </c>
      <c r="C39" s="1" t="s">
        <v>14</v>
      </c>
      <c r="D39" s="1">
        <v>47</v>
      </c>
      <c r="E39" s="1">
        <v>39</v>
      </c>
      <c r="F39" s="1">
        <v>3348</v>
      </c>
      <c r="G39" s="1">
        <v>16</v>
      </c>
      <c r="H39" s="1">
        <v>7</v>
      </c>
      <c r="I39" s="1">
        <f t="shared" si="14"/>
        <v>23</v>
      </c>
      <c r="J39" s="1">
        <f t="shared" si="11"/>
        <v>15</v>
      </c>
      <c r="K39" s="1">
        <v>1</v>
      </c>
      <c r="L39" s="1">
        <v>1</v>
      </c>
      <c r="M39" s="10">
        <f t="shared" si="4"/>
        <v>0.17777777777777778</v>
      </c>
      <c r="N39" s="10">
        <f t="shared" si="5"/>
        <v>7.7777777777777779E-2</v>
      </c>
      <c r="O39" s="10">
        <f t="shared" si="6"/>
        <v>0.25555555555555554</v>
      </c>
      <c r="P39" s="11">
        <f>F39/$F$286</f>
        <v>0.25101214574898784</v>
      </c>
      <c r="Q39" s="11">
        <f>I39/$I$286</f>
        <v>0.22549019607843138</v>
      </c>
      <c r="R39" s="11">
        <f t="shared" si="7"/>
        <v>1</v>
      </c>
    </row>
    <row r="40" spans="1:18" x14ac:dyDescent="0.3">
      <c r="A40" s="1" t="s">
        <v>53</v>
      </c>
      <c r="B40" s="1" t="s">
        <v>13</v>
      </c>
      <c r="C40" s="1" t="s">
        <v>18</v>
      </c>
      <c r="D40" s="1">
        <v>21</v>
      </c>
      <c r="E40" s="1">
        <v>7</v>
      </c>
      <c r="F40" s="1">
        <v>682</v>
      </c>
      <c r="G40" s="1">
        <v>4</v>
      </c>
      <c r="H40" s="1">
        <v>2</v>
      </c>
      <c r="I40" s="1">
        <f t="shared" si="14"/>
        <v>6</v>
      </c>
      <c r="J40" s="1">
        <f t="shared" si="11"/>
        <v>4</v>
      </c>
      <c r="K40" s="1">
        <v>0</v>
      </c>
      <c r="L40" s="1">
        <v>0</v>
      </c>
      <c r="M40" s="10">
        <f t="shared" si="4"/>
        <v>4.4444444444444446E-2</v>
      </c>
      <c r="N40" s="10">
        <f t="shared" si="5"/>
        <v>2.2222222222222223E-2</v>
      </c>
      <c r="O40" s="10">
        <f t="shared" si="6"/>
        <v>6.6666666666666666E-2</v>
      </c>
      <c r="P40" s="11">
        <f>F40/$F$286</f>
        <v>5.1132103763682712E-2</v>
      </c>
      <c r="Q40" s="11">
        <f>I40/$I$286</f>
        <v>5.8823529411764705E-2</v>
      </c>
      <c r="R40" s="11"/>
    </row>
    <row r="41" spans="1:18" x14ac:dyDescent="0.3">
      <c r="A41" s="3" t="s">
        <v>53</v>
      </c>
      <c r="B41" s="3" t="s">
        <v>20</v>
      </c>
      <c r="C41" s="3" t="s">
        <v>23</v>
      </c>
      <c r="D41" s="3">
        <v>51</v>
      </c>
      <c r="E41" s="3">
        <v>42</v>
      </c>
      <c r="F41" s="3">
        <v>3854</v>
      </c>
      <c r="G41" s="3">
        <v>31</v>
      </c>
      <c r="H41" s="3">
        <v>7</v>
      </c>
      <c r="I41" s="3">
        <f t="shared" ref="I41:I64" si="15">SUM(G41,H41)</f>
        <v>38</v>
      </c>
      <c r="J41" s="3">
        <f t="shared" ref="J41:J64" si="16">G41-K41</f>
        <v>27</v>
      </c>
      <c r="K41" s="3">
        <v>4</v>
      </c>
      <c r="L41" s="3">
        <v>5</v>
      </c>
      <c r="M41" s="4">
        <f t="shared" si="4"/>
        <v>0.34444444444444444</v>
      </c>
      <c r="N41" s="4">
        <f t="shared" si="5"/>
        <v>7.7777777777777779E-2</v>
      </c>
      <c r="O41" s="4">
        <f t="shared" si="6"/>
        <v>0.42222222222222222</v>
      </c>
      <c r="P41" s="5">
        <f>F41/$F$287</f>
        <v>0.29917714640583759</v>
      </c>
      <c r="Q41" s="5">
        <f>I41/$I$287</f>
        <v>0.39583333333333331</v>
      </c>
      <c r="R41" s="5">
        <f t="shared" si="7"/>
        <v>0.8</v>
      </c>
    </row>
    <row r="42" spans="1:18" x14ac:dyDescent="0.3">
      <c r="A42" s="3" t="s">
        <v>53</v>
      </c>
      <c r="B42" s="3" t="s">
        <v>20</v>
      </c>
      <c r="C42" s="3" t="s">
        <v>21</v>
      </c>
      <c r="D42" s="3">
        <v>49</v>
      </c>
      <c r="E42" s="3">
        <v>36</v>
      </c>
      <c r="F42" s="3">
        <v>3327</v>
      </c>
      <c r="G42" s="3">
        <v>19</v>
      </c>
      <c r="H42" s="3">
        <v>11</v>
      </c>
      <c r="I42" s="3">
        <f t="shared" si="15"/>
        <v>30</v>
      </c>
      <c r="J42" s="3">
        <f t="shared" si="16"/>
        <v>19</v>
      </c>
      <c r="K42" s="3">
        <v>0</v>
      </c>
      <c r="L42" s="3">
        <v>0</v>
      </c>
      <c r="M42" s="4">
        <f t="shared" si="4"/>
        <v>0.21111111111111111</v>
      </c>
      <c r="N42" s="4">
        <f t="shared" si="5"/>
        <v>0.12222222222222222</v>
      </c>
      <c r="O42" s="4">
        <f t="shared" si="6"/>
        <v>0.33333333333333331</v>
      </c>
      <c r="P42" s="5">
        <f>F42/$F$287</f>
        <v>0.25826734979040522</v>
      </c>
      <c r="Q42" s="5">
        <f>I42/$I$287</f>
        <v>0.3125</v>
      </c>
      <c r="R42" s="5"/>
    </row>
    <row r="43" spans="1:18" x14ac:dyDescent="0.3">
      <c r="A43" s="3" t="s">
        <v>53</v>
      </c>
      <c r="B43" s="3" t="s">
        <v>20</v>
      </c>
      <c r="C43" s="3" t="s">
        <v>55</v>
      </c>
      <c r="D43" s="3">
        <v>51</v>
      </c>
      <c r="E43" s="3">
        <v>32</v>
      </c>
      <c r="F43" s="3">
        <v>2840</v>
      </c>
      <c r="G43" s="3">
        <v>6</v>
      </c>
      <c r="H43" s="3">
        <v>8</v>
      </c>
      <c r="I43" s="3">
        <f t="shared" si="15"/>
        <v>14</v>
      </c>
      <c r="J43" s="3">
        <f t="shared" si="16"/>
        <v>6</v>
      </c>
      <c r="K43" s="3">
        <v>0</v>
      </c>
      <c r="L43" s="3">
        <v>0</v>
      </c>
      <c r="M43" s="4">
        <f t="shared" si="4"/>
        <v>6.6666666666666666E-2</v>
      </c>
      <c r="N43" s="4">
        <f t="shared" si="5"/>
        <v>8.8888888888888892E-2</v>
      </c>
      <c r="O43" s="4">
        <f t="shared" si="6"/>
        <v>0.15555555555555556</v>
      </c>
      <c r="P43" s="5">
        <f>F43/$F$287</f>
        <v>0.22046266107747245</v>
      </c>
      <c r="Q43" s="5">
        <f>I43/$I$287</f>
        <v>0.14583333333333334</v>
      </c>
      <c r="R43" s="5"/>
    </row>
    <row r="44" spans="1:18" x14ac:dyDescent="0.3">
      <c r="A44" s="3" t="s">
        <v>53</v>
      </c>
      <c r="B44" s="3" t="s">
        <v>20</v>
      </c>
      <c r="C44" s="3" t="s">
        <v>56</v>
      </c>
      <c r="D44" s="3">
        <v>39</v>
      </c>
      <c r="E44" s="3">
        <v>28</v>
      </c>
      <c r="F44" s="3">
        <v>2525</v>
      </c>
      <c r="G44" s="3">
        <v>6</v>
      </c>
      <c r="H44" s="3">
        <v>7</v>
      </c>
      <c r="I44" s="3">
        <f t="shared" si="15"/>
        <v>13</v>
      </c>
      <c r="J44" s="3">
        <f t="shared" si="16"/>
        <v>6</v>
      </c>
      <c r="K44" s="3">
        <v>0</v>
      </c>
      <c r="L44" s="3">
        <v>0</v>
      </c>
      <c r="M44" s="4">
        <f t="shared" si="4"/>
        <v>6.6666666666666666E-2</v>
      </c>
      <c r="N44" s="4">
        <f t="shared" si="5"/>
        <v>7.7777777777777779E-2</v>
      </c>
      <c r="O44" s="4">
        <f t="shared" si="6"/>
        <v>0.14444444444444443</v>
      </c>
      <c r="P44" s="5">
        <f>F44/$F$287</f>
        <v>0.19600993634528799</v>
      </c>
      <c r="Q44" s="5">
        <f>I44/$I$287</f>
        <v>0.13541666666666666</v>
      </c>
      <c r="R44" s="5"/>
    </row>
    <row r="45" spans="1:18" x14ac:dyDescent="0.3">
      <c r="A45" s="3" t="s">
        <v>53</v>
      </c>
      <c r="B45" s="3" t="s">
        <v>20</v>
      </c>
      <c r="C45" s="3" t="s">
        <v>25</v>
      </c>
      <c r="D45" s="3">
        <v>9</v>
      </c>
      <c r="E45" s="3">
        <v>3</v>
      </c>
      <c r="F45" s="3">
        <v>336</v>
      </c>
      <c r="G45" s="3">
        <v>1</v>
      </c>
      <c r="H45" s="3">
        <v>0</v>
      </c>
      <c r="I45" s="3">
        <f t="shared" si="15"/>
        <v>1</v>
      </c>
      <c r="J45" s="3">
        <f t="shared" si="16"/>
        <v>1</v>
      </c>
      <c r="K45" s="3">
        <v>0</v>
      </c>
      <c r="L45" s="3">
        <v>0</v>
      </c>
      <c r="M45" s="4">
        <f t="shared" si="4"/>
        <v>1.1111111111111112E-2</v>
      </c>
      <c r="N45" s="4">
        <f t="shared" si="5"/>
        <v>0</v>
      </c>
      <c r="O45" s="4">
        <f t="shared" si="6"/>
        <v>1.1111111111111112E-2</v>
      </c>
      <c r="P45" s="5">
        <f>F45/$F$287</f>
        <v>2.6082906380996741E-2</v>
      </c>
      <c r="Q45" s="5">
        <f>I45/$I$287</f>
        <v>1.0416666666666666E-2</v>
      </c>
      <c r="R45" s="5"/>
    </row>
    <row r="46" spans="1:18" x14ac:dyDescent="0.3">
      <c r="A46" s="1" t="s">
        <v>53</v>
      </c>
      <c r="B46" s="1" t="s">
        <v>26</v>
      </c>
      <c r="C46" s="1" t="s">
        <v>27</v>
      </c>
      <c r="D46" s="1">
        <v>52</v>
      </c>
      <c r="E46" s="1">
        <v>40</v>
      </c>
      <c r="F46" s="1">
        <v>3909</v>
      </c>
      <c r="G46" s="1">
        <v>21</v>
      </c>
      <c r="H46" s="1">
        <v>17</v>
      </c>
      <c r="I46" s="1">
        <f t="shared" ref="I46:I50" si="17">SUM(G46,H46)</f>
        <v>38</v>
      </c>
      <c r="J46" s="1">
        <f t="shared" ref="J46:J50" si="18">G46-K46</f>
        <v>16</v>
      </c>
      <c r="K46" s="1">
        <v>5</v>
      </c>
      <c r="L46" s="1">
        <v>5</v>
      </c>
      <c r="M46" s="10">
        <f t="shared" si="4"/>
        <v>0.23333333333333334</v>
      </c>
      <c r="N46" s="10">
        <f t="shared" si="5"/>
        <v>0.18888888888888888</v>
      </c>
      <c r="O46" s="10">
        <f t="shared" si="6"/>
        <v>0.42222222222222222</v>
      </c>
      <c r="P46" s="11">
        <f t="shared" ref="P46:P52" si="19">F46/$F$288</f>
        <v>0.23376390383925369</v>
      </c>
      <c r="Q46" s="11">
        <f t="shared" ref="Q46:Q52" si="20">I46/$I$288</f>
        <v>0.30894308943089432</v>
      </c>
      <c r="R46" s="11">
        <f t="shared" si="7"/>
        <v>1</v>
      </c>
    </row>
    <row r="47" spans="1:18" x14ac:dyDescent="0.3">
      <c r="A47" s="1" t="s">
        <v>53</v>
      </c>
      <c r="B47" s="1" t="s">
        <v>26</v>
      </c>
      <c r="C47" s="1" t="s">
        <v>57</v>
      </c>
      <c r="D47" s="1">
        <v>56</v>
      </c>
      <c r="E47" s="1">
        <v>43</v>
      </c>
      <c r="F47" s="1">
        <v>3547</v>
      </c>
      <c r="G47" s="1">
        <v>8</v>
      </c>
      <c r="H47" s="1">
        <v>12</v>
      </c>
      <c r="I47" s="1">
        <f t="shared" si="17"/>
        <v>20</v>
      </c>
      <c r="J47" s="1">
        <f t="shared" si="18"/>
        <v>7</v>
      </c>
      <c r="K47" s="1">
        <v>1</v>
      </c>
      <c r="L47" s="1">
        <v>1</v>
      </c>
      <c r="M47" s="10">
        <f t="shared" si="4"/>
        <v>8.8888888888888892E-2</v>
      </c>
      <c r="N47" s="10">
        <f t="shared" si="5"/>
        <v>0.13333333333333333</v>
      </c>
      <c r="O47" s="10">
        <f t="shared" si="6"/>
        <v>0.22222222222222221</v>
      </c>
      <c r="P47" s="11">
        <f t="shared" si="19"/>
        <v>0.21211577562492526</v>
      </c>
      <c r="Q47" s="11">
        <f t="shared" si="20"/>
        <v>0.16260162601626016</v>
      </c>
      <c r="R47" s="11">
        <f t="shared" si="7"/>
        <v>1</v>
      </c>
    </row>
    <row r="48" spans="1:18" x14ac:dyDescent="0.3">
      <c r="A48" s="1" t="s">
        <v>53</v>
      </c>
      <c r="B48" s="1" t="s">
        <v>26</v>
      </c>
      <c r="C48" s="1" t="s">
        <v>29</v>
      </c>
      <c r="D48" s="1">
        <v>52</v>
      </c>
      <c r="E48" s="1">
        <v>36</v>
      </c>
      <c r="F48" s="1">
        <v>3091</v>
      </c>
      <c r="G48" s="1">
        <v>13</v>
      </c>
      <c r="H48" s="1">
        <v>5</v>
      </c>
      <c r="I48" s="1">
        <f t="shared" si="17"/>
        <v>18</v>
      </c>
      <c r="J48" s="1">
        <f t="shared" si="18"/>
        <v>13</v>
      </c>
      <c r="K48" s="1">
        <v>0</v>
      </c>
      <c r="L48" s="1">
        <v>0</v>
      </c>
      <c r="M48" s="10">
        <f t="shared" si="4"/>
        <v>0.14444444444444443</v>
      </c>
      <c r="N48" s="10">
        <f t="shared" si="5"/>
        <v>5.5555555555555552E-2</v>
      </c>
      <c r="O48" s="10">
        <f t="shared" si="6"/>
        <v>0.2</v>
      </c>
      <c r="P48" s="11">
        <f t="shared" si="19"/>
        <v>0.18484631024997009</v>
      </c>
      <c r="Q48" s="11">
        <f t="shared" si="20"/>
        <v>0.14634146341463414</v>
      </c>
      <c r="R48" s="11"/>
    </row>
    <row r="49" spans="1:18" x14ac:dyDescent="0.3">
      <c r="A49" s="1" t="s">
        <v>53</v>
      </c>
      <c r="B49" s="1" t="s">
        <v>26</v>
      </c>
      <c r="C49" s="1" t="s">
        <v>22</v>
      </c>
      <c r="D49" s="1">
        <v>45</v>
      </c>
      <c r="E49" s="1">
        <v>21</v>
      </c>
      <c r="F49" s="1">
        <v>2204</v>
      </c>
      <c r="G49" s="1">
        <v>13</v>
      </c>
      <c r="H49" s="1">
        <v>10</v>
      </c>
      <c r="I49" s="1">
        <f t="shared" si="17"/>
        <v>23</v>
      </c>
      <c r="J49" s="1">
        <f t="shared" si="18"/>
        <v>13</v>
      </c>
      <c r="K49" s="1">
        <v>0</v>
      </c>
      <c r="L49" s="1">
        <v>0</v>
      </c>
      <c r="M49" s="10">
        <f t="shared" si="4"/>
        <v>0.14444444444444443</v>
      </c>
      <c r="N49" s="10">
        <f t="shared" si="5"/>
        <v>0.1111111111111111</v>
      </c>
      <c r="O49" s="10">
        <f t="shared" si="6"/>
        <v>0.25555555555555554</v>
      </c>
      <c r="P49" s="11">
        <f t="shared" si="19"/>
        <v>0.1318024159789499</v>
      </c>
      <c r="Q49" s="11">
        <f t="shared" si="20"/>
        <v>0.18699186991869918</v>
      </c>
      <c r="R49" s="11"/>
    </row>
    <row r="50" spans="1:18" x14ac:dyDescent="0.3">
      <c r="A50" s="1" t="s">
        <v>53</v>
      </c>
      <c r="B50" s="1" t="s">
        <v>26</v>
      </c>
      <c r="C50" s="1" t="s">
        <v>28</v>
      </c>
      <c r="D50" s="1">
        <v>24</v>
      </c>
      <c r="E50" s="1">
        <v>18</v>
      </c>
      <c r="F50" s="1">
        <v>1492</v>
      </c>
      <c r="G50" s="1">
        <v>9</v>
      </c>
      <c r="H50" s="1">
        <v>0</v>
      </c>
      <c r="I50" s="1">
        <f t="shared" si="17"/>
        <v>9</v>
      </c>
      <c r="J50" s="1">
        <f t="shared" si="18"/>
        <v>9</v>
      </c>
      <c r="K50" s="1">
        <v>0</v>
      </c>
      <c r="L50" s="1">
        <v>0</v>
      </c>
      <c r="M50" s="10">
        <f t="shared" si="4"/>
        <v>0.1</v>
      </c>
      <c r="N50" s="10">
        <f t="shared" si="5"/>
        <v>0</v>
      </c>
      <c r="O50" s="10">
        <f t="shared" si="6"/>
        <v>0.1</v>
      </c>
      <c r="P50" s="11">
        <f t="shared" si="19"/>
        <v>8.922377706016027E-2</v>
      </c>
      <c r="Q50" s="11">
        <f t="shared" si="20"/>
        <v>7.3170731707317069E-2</v>
      </c>
      <c r="R50" s="11"/>
    </row>
    <row r="51" spans="1:18" x14ac:dyDescent="0.3">
      <c r="A51" s="1" t="s">
        <v>53</v>
      </c>
      <c r="B51" s="1" t="s">
        <v>26</v>
      </c>
      <c r="C51" s="1" t="s">
        <v>58</v>
      </c>
      <c r="D51" s="1">
        <v>18</v>
      </c>
      <c r="E51" s="1">
        <v>15</v>
      </c>
      <c r="F51" s="1">
        <v>1307</v>
      </c>
      <c r="G51" s="1">
        <v>5</v>
      </c>
      <c r="H51" s="1">
        <v>0</v>
      </c>
      <c r="I51" s="1">
        <f t="shared" si="15"/>
        <v>5</v>
      </c>
      <c r="J51" s="1">
        <f t="shared" si="16"/>
        <v>5</v>
      </c>
      <c r="K51" s="1">
        <v>0</v>
      </c>
      <c r="L51" s="1">
        <v>0</v>
      </c>
      <c r="M51" s="10">
        <f t="shared" si="4"/>
        <v>5.5555555555555552E-2</v>
      </c>
      <c r="N51" s="10">
        <f t="shared" si="5"/>
        <v>0</v>
      </c>
      <c r="O51" s="10">
        <f t="shared" si="6"/>
        <v>5.5555555555555552E-2</v>
      </c>
      <c r="P51" s="11">
        <f t="shared" si="19"/>
        <v>7.8160507116373637E-2</v>
      </c>
      <c r="Q51" s="11">
        <f t="shared" si="20"/>
        <v>4.065040650406504E-2</v>
      </c>
      <c r="R51" s="11"/>
    </row>
    <row r="52" spans="1:18" x14ac:dyDescent="0.3">
      <c r="A52" s="1" t="s">
        <v>53</v>
      </c>
      <c r="B52" s="1" t="s">
        <v>26</v>
      </c>
      <c r="C52" s="1" t="s">
        <v>59</v>
      </c>
      <c r="D52" s="1">
        <v>24</v>
      </c>
      <c r="E52" s="1">
        <v>12</v>
      </c>
      <c r="F52" s="1">
        <v>1172</v>
      </c>
      <c r="G52" s="1">
        <v>5</v>
      </c>
      <c r="H52" s="1">
        <v>5</v>
      </c>
      <c r="I52" s="1">
        <f t="shared" si="15"/>
        <v>10</v>
      </c>
      <c r="J52" s="1">
        <f t="shared" si="16"/>
        <v>5</v>
      </c>
      <c r="K52" s="1">
        <v>0</v>
      </c>
      <c r="L52" s="1">
        <v>0</v>
      </c>
      <c r="M52" s="10">
        <f t="shared" si="4"/>
        <v>5.5555555555555552E-2</v>
      </c>
      <c r="N52" s="10">
        <f t="shared" si="5"/>
        <v>5.5555555555555552E-2</v>
      </c>
      <c r="O52" s="10">
        <f t="shared" si="6"/>
        <v>0.1111111111111111</v>
      </c>
      <c r="P52" s="11">
        <f t="shared" si="19"/>
        <v>7.0087310130367175E-2</v>
      </c>
      <c r="Q52" s="11">
        <f t="shared" si="20"/>
        <v>8.1300813008130079E-2</v>
      </c>
      <c r="R52" s="11"/>
    </row>
    <row r="53" spans="1:18" x14ac:dyDescent="0.3">
      <c r="A53" s="3" t="s">
        <v>53</v>
      </c>
      <c r="B53" s="3" t="s">
        <v>32</v>
      </c>
      <c r="C53" s="3" t="s">
        <v>33</v>
      </c>
      <c r="D53" s="3">
        <v>51</v>
      </c>
      <c r="E53" s="3">
        <v>45</v>
      </c>
      <c r="F53" s="3">
        <v>4121</v>
      </c>
      <c r="G53" s="3">
        <v>25</v>
      </c>
      <c r="H53" s="3">
        <v>14</v>
      </c>
      <c r="I53" s="3">
        <f t="shared" si="15"/>
        <v>39</v>
      </c>
      <c r="J53" s="3">
        <f t="shared" si="16"/>
        <v>25</v>
      </c>
      <c r="K53" s="3">
        <v>0</v>
      </c>
      <c r="L53" s="3">
        <v>0</v>
      </c>
      <c r="M53" s="4">
        <f t="shared" si="4"/>
        <v>0.27777777777777779</v>
      </c>
      <c r="N53" s="4">
        <f t="shared" si="5"/>
        <v>0.15555555555555556</v>
      </c>
      <c r="O53" s="4">
        <f t="shared" si="6"/>
        <v>0.43333333333333335</v>
      </c>
      <c r="P53" s="5">
        <f t="shared" ref="P53:P59" si="21">F53/$F$289</f>
        <v>0.21366723699901488</v>
      </c>
      <c r="Q53" s="5">
        <f t="shared" ref="Q53:Q59" si="22">I53/$I$289</f>
        <v>0.20103092783505155</v>
      </c>
      <c r="R53" s="5"/>
    </row>
    <row r="54" spans="1:18" x14ac:dyDescent="0.3">
      <c r="A54" s="3" t="s">
        <v>53</v>
      </c>
      <c r="B54" s="3" t="s">
        <v>32</v>
      </c>
      <c r="C54" s="3" t="s">
        <v>37</v>
      </c>
      <c r="D54" s="3">
        <v>51</v>
      </c>
      <c r="E54" s="3">
        <v>43</v>
      </c>
      <c r="F54" s="3">
        <v>4028</v>
      </c>
      <c r="G54" s="3">
        <v>13</v>
      </c>
      <c r="H54" s="3">
        <v>13</v>
      </c>
      <c r="I54" s="3">
        <f t="shared" si="15"/>
        <v>26</v>
      </c>
      <c r="J54" s="3">
        <f t="shared" si="16"/>
        <v>13</v>
      </c>
      <c r="K54" s="3">
        <v>0</v>
      </c>
      <c r="L54" s="3">
        <v>0</v>
      </c>
      <c r="M54" s="4">
        <f t="shared" si="4"/>
        <v>0.14444444444444443</v>
      </c>
      <c r="N54" s="4">
        <f t="shared" si="5"/>
        <v>0.14444444444444443</v>
      </c>
      <c r="O54" s="4">
        <f t="shared" si="6"/>
        <v>0.28888888888888886</v>
      </c>
      <c r="P54" s="5">
        <f t="shared" si="21"/>
        <v>0.20884533623684348</v>
      </c>
      <c r="Q54" s="5">
        <f t="shared" si="22"/>
        <v>0.13402061855670103</v>
      </c>
      <c r="R54" s="5"/>
    </row>
    <row r="55" spans="1:18" x14ac:dyDescent="0.3">
      <c r="A55" s="3" t="s">
        <v>53</v>
      </c>
      <c r="B55" s="3" t="s">
        <v>32</v>
      </c>
      <c r="C55" s="3" t="s">
        <v>35</v>
      </c>
      <c r="D55" s="3">
        <v>46</v>
      </c>
      <c r="E55" s="3">
        <v>41</v>
      </c>
      <c r="F55" s="3">
        <v>3345</v>
      </c>
      <c r="G55" s="3">
        <v>32</v>
      </c>
      <c r="H55" s="3">
        <v>10</v>
      </c>
      <c r="I55" s="3">
        <f t="shared" si="15"/>
        <v>42</v>
      </c>
      <c r="J55" s="3">
        <f t="shared" si="16"/>
        <v>28</v>
      </c>
      <c r="K55" s="3">
        <v>4</v>
      </c>
      <c r="L55" s="3">
        <v>6</v>
      </c>
      <c r="M55" s="4">
        <f t="shared" si="4"/>
        <v>0.35555555555555557</v>
      </c>
      <c r="N55" s="4">
        <f t="shared" si="5"/>
        <v>0.1111111111111111</v>
      </c>
      <c r="O55" s="4">
        <f t="shared" si="6"/>
        <v>0.46666666666666667</v>
      </c>
      <c r="P55" s="5">
        <f t="shared" si="21"/>
        <v>0.17343288225229428</v>
      </c>
      <c r="Q55" s="5">
        <f t="shared" si="22"/>
        <v>0.21649484536082475</v>
      </c>
      <c r="R55" s="5">
        <f t="shared" si="7"/>
        <v>0.66666666666666663</v>
      </c>
    </row>
    <row r="56" spans="1:18" x14ac:dyDescent="0.3">
      <c r="A56" s="3" t="s">
        <v>53</v>
      </c>
      <c r="B56" s="3" t="s">
        <v>32</v>
      </c>
      <c r="C56" s="3" t="s">
        <v>34</v>
      </c>
      <c r="D56" s="3">
        <v>47</v>
      </c>
      <c r="E56" s="3">
        <v>30</v>
      </c>
      <c r="F56" s="3">
        <v>2698</v>
      </c>
      <c r="G56" s="3">
        <v>16</v>
      </c>
      <c r="H56" s="3">
        <v>17</v>
      </c>
      <c r="I56" s="3">
        <f t="shared" si="15"/>
        <v>33</v>
      </c>
      <c r="J56" s="3">
        <f t="shared" si="16"/>
        <v>16</v>
      </c>
      <c r="K56" s="3">
        <v>0</v>
      </c>
      <c r="L56" s="3">
        <v>0</v>
      </c>
      <c r="M56" s="4">
        <f t="shared" si="4"/>
        <v>0.17777777777777778</v>
      </c>
      <c r="N56" s="4">
        <f t="shared" si="5"/>
        <v>0.18888888888888888</v>
      </c>
      <c r="O56" s="4">
        <f t="shared" si="6"/>
        <v>0.36666666666666664</v>
      </c>
      <c r="P56" s="5">
        <f t="shared" si="21"/>
        <v>0.13988697049826307</v>
      </c>
      <c r="Q56" s="5">
        <f t="shared" si="22"/>
        <v>0.17010309278350516</v>
      </c>
      <c r="R56" s="5"/>
    </row>
    <row r="57" spans="1:18" x14ac:dyDescent="0.3">
      <c r="A57" s="3" t="s">
        <v>53</v>
      </c>
      <c r="B57" s="3" t="s">
        <v>32</v>
      </c>
      <c r="C57" s="3" t="s">
        <v>60</v>
      </c>
      <c r="D57" s="3">
        <v>44</v>
      </c>
      <c r="E57" s="3">
        <v>28</v>
      </c>
      <c r="F57" s="3">
        <v>2583</v>
      </c>
      <c r="G57" s="3">
        <v>12</v>
      </c>
      <c r="H57" s="3">
        <v>12</v>
      </c>
      <c r="I57" s="3">
        <f t="shared" si="15"/>
        <v>24</v>
      </c>
      <c r="J57" s="3">
        <f t="shared" si="16"/>
        <v>12</v>
      </c>
      <c r="K57" s="3">
        <v>0</v>
      </c>
      <c r="L57" s="3">
        <v>1</v>
      </c>
      <c r="M57" s="4">
        <f t="shared" si="4"/>
        <v>0.13333333333333333</v>
      </c>
      <c r="N57" s="4">
        <f t="shared" si="5"/>
        <v>0.13333333333333333</v>
      </c>
      <c r="O57" s="4">
        <f t="shared" si="6"/>
        <v>0.26666666666666666</v>
      </c>
      <c r="P57" s="5">
        <f t="shared" si="21"/>
        <v>0.13392440503966402</v>
      </c>
      <c r="Q57" s="5">
        <f t="shared" si="22"/>
        <v>0.12371134020618557</v>
      </c>
      <c r="R57" s="5">
        <f t="shared" si="7"/>
        <v>0</v>
      </c>
    </row>
    <row r="58" spans="1:18" x14ac:dyDescent="0.3">
      <c r="A58" s="3" t="s">
        <v>53</v>
      </c>
      <c r="B58" s="3" t="s">
        <v>32</v>
      </c>
      <c r="C58" s="3" t="s">
        <v>36</v>
      </c>
      <c r="D58" s="3">
        <v>47</v>
      </c>
      <c r="E58" s="3">
        <v>21</v>
      </c>
      <c r="F58" s="3">
        <v>2301</v>
      </c>
      <c r="G58" s="3">
        <v>21</v>
      </c>
      <c r="H58" s="3">
        <v>7</v>
      </c>
      <c r="I58" s="3">
        <f t="shared" si="15"/>
        <v>28</v>
      </c>
      <c r="J58" s="3">
        <f t="shared" si="16"/>
        <v>18</v>
      </c>
      <c r="K58" s="3">
        <v>3</v>
      </c>
      <c r="L58" s="3">
        <v>3</v>
      </c>
      <c r="M58" s="4">
        <f t="shared" si="4"/>
        <v>0.23333333333333334</v>
      </c>
      <c r="N58" s="4">
        <f t="shared" si="5"/>
        <v>7.7777777777777779E-2</v>
      </c>
      <c r="O58" s="4">
        <f t="shared" si="6"/>
        <v>0.31111111111111112</v>
      </c>
      <c r="P58" s="5">
        <f t="shared" si="21"/>
        <v>0.11930315756727329</v>
      </c>
      <c r="Q58" s="5">
        <f t="shared" si="22"/>
        <v>0.14432989690721648</v>
      </c>
      <c r="R58" s="5">
        <f t="shared" si="7"/>
        <v>1</v>
      </c>
    </row>
    <row r="59" spans="1:18" x14ac:dyDescent="0.3">
      <c r="A59" s="3" t="s">
        <v>53</v>
      </c>
      <c r="B59" s="3" t="s">
        <v>32</v>
      </c>
      <c r="C59" s="3" t="s">
        <v>61</v>
      </c>
      <c r="D59" s="3">
        <v>4</v>
      </c>
      <c r="E59" s="3">
        <v>3</v>
      </c>
      <c r="F59" s="3">
        <v>211</v>
      </c>
      <c r="G59" s="3">
        <v>2</v>
      </c>
      <c r="H59" s="3">
        <v>0</v>
      </c>
      <c r="I59" s="3">
        <f t="shared" si="15"/>
        <v>2</v>
      </c>
      <c r="J59" s="3">
        <f t="shared" si="16"/>
        <v>2</v>
      </c>
      <c r="K59" s="3">
        <v>0</v>
      </c>
      <c r="L59" s="3">
        <v>0</v>
      </c>
      <c r="M59" s="4">
        <f t="shared" si="4"/>
        <v>2.2222222222222223E-2</v>
      </c>
      <c r="N59" s="4">
        <f t="shared" si="5"/>
        <v>0</v>
      </c>
      <c r="O59" s="4">
        <f t="shared" si="6"/>
        <v>2.2222222222222223E-2</v>
      </c>
      <c r="P59" s="5">
        <f t="shared" si="21"/>
        <v>1.0940011406646964E-2</v>
      </c>
      <c r="Q59" s="5">
        <f t="shared" si="22"/>
        <v>1.0309278350515464E-2</v>
      </c>
      <c r="R59" s="5"/>
    </row>
    <row r="60" spans="1:18" x14ac:dyDescent="0.3">
      <c r="A60" s="1" t="s">
        <v>53</v>
      </c>
      <c r="B60" s="1" t="s">
        <v>38</v>
      </c>
      <c r="C60" s="1" t="s">
        <v>40</v>
      </c>
      <c r="D60" s="1">
        <v>47</v>
      </c>
      <c r="E60" s="1">
        <v>36</v>
      </c>
      <c r="F60" s="1">
        <v>3281</v>
      </c>
      <c r="G60" s="1">
        <v>13</v>
      </c>
      <c r="H60" s="1">
        <v>8</v>
      </c>
      <c r="I60" s="1">
        <f t="shared" si="15"/>
        <v>21</v>
      </c>
      <c r="J60" s="1">
        <f t="shared" si="16"/>
        <v>12</v>
      </c>
      <c r="K60" s="1">
        <v>1</v>
      </c>
      <c r="L60" s="1">
        <v>1</v>
      </c>
      <c r="M60" s="10">
        <f t="shared" si="4"/>
        <v>0.14444444444444443</v>
      </c>
      <c r="N60" s="10">
        <f t="shared" si="5"/>
        <v>8.8888888888888892E-2</v>
      </c>
      <c r="O60" s="10">
        <f t="shared" si="6"/>
        <v>0.23333333333333334</v>
      </c>
      <c r="P60" s="11">
        <f>F60/$F$290</f>
        <v>0.27852292020373515</v>
      </c>
      <c r="Q60" s="11">
        <f>I60/$I$290</f>
        <v>0.33333333333333331</v>
      </c>
      <c r="R60" s="11">
        <f t="shared" si="7"/>
        <v>1</v>
      </c>
    </row>
    <row r="61" spans="1:18" x14ac:dyDescent="0.3">
      <c r="A61" s="1" t="s">
        <v>53</v>
      </c>
      <c r="B61" s="1" t="s">
        <v>38</v>
      </c>
      <c r="C61" s="1" t="s">
        <v>39</v>
      </c>
      <c r="D61" s="1">
        <v>45</v>
      </c>
      <c r="E61" s="1">
        <v>32</v>
      </c>
      <c r="F61" s="1">
        <v>3036</v>
      </c>
      <c r="G61" s="1">
        <v>15</v>
      </c>
      <c r="H61" s="1">
        <v>3</v>
      </c>
      <c r="I61" s="1">
        <f t="shared" si="15"/>
        <v>18</v>
      </c>
      <c r="J61" s="1">
        <f t="shared" si="16"/>
        <v>15</v>
      </c>
      <c r="K61" s="1">
        <v>0</v>
      </c>
      <c r="L61" s="1">
        <v>0</v>
      </c>
      <c r="M61" s="10">
        <f t="shared" si="4"/>
        <v>0.16666666666666666</v>
      </c>
      <c r="N61" s="10">
        <f t="shared" si="5"/>
        <v>3.3333333333333333E-2</v>
      </c>
      <c r="O61" s="10">
        <f t="shared" si="6"/>
        <v>0.2</v>
      </c>
      <c r="P61" s="11">
        <f>F61/$F$290</f>
        <v>0.25772495755517827</v>
      </c>
      <c r="Q61" s="11">
        <f>I61/$I$290</f>
        <v>0.2857142857142857</v>
      </c>
      <c r="R61" s="11"/>
    </row>
    <row r="62" spans="1:18" x14ac:dyDescent="0.3">
      <c r="A62" s="1" t="s">
        <v>53</v>
      </c>
      <c r="B62" s="1" t="s">
        <v>38</v>
      </c>
      <c r="C62" s="1" t="s">
        <v>43</v>
      </c>
      <c r="D62" s="1">
        <v>38</v>
      </c>
      <c r="E62" s="1">
        <v>26</v>
      </c>
      <c r="F62" s="1">
        <v>2357</v>
      </c>
      <c r="G62" s="1">
        <v>12</v>
      </c>
      <c r="H62" s="1">
        <v>2</v>
      </c>
      <c r="I62" s="1">
        <f t="shared" si="15"/>
        <v>14</v>
      </c>
      <c r="J62" s="1">
        <f t="shared" si="16"/>
        <v>11</v>
      </c>
      <c r="K62" s="1">
        <v>1</v>
      </c>
      <c r="L62" s="1">
        <v>1</v>
      </c>
      <c r="M62" s="10">
        <f t="shared" si="4"/>
        <v>0.13333333333333333</v>
      </c>
      <c r="N62" s="10">
        <f t="shared" si="5"/>
        <v>2.2222222222222223E-2</v>
      </c>
      <c r="O62" s="10">
        <f t="shared" si="6"/>
        <v>0.15555555555555556</v>
      </c>
      <c r="P62" s="11">
        <f>F62/$F$290</f>
        <v>0.20008488964346349</v>
      </c>
      <c r="Q62" s="11">
        <f>I62/$I$290</f>
        <v>0.22222222222222221</v>
      </c>
      <c r="R62" s="11">
        <f t="shared" si="7"/>
        <v>1</v>
      </c>
    </row>
    <row r="63" spans="1:18" x14ac:dyDescent="0.3">
      <c r="A63" s="1" t="s">
        <v>53</v>
      </c>
      <c r="B63" s="1" t="s">
        <v>38</v>
      </c>
      <c r="C63" s="1" t="s">
        <v>42</v>
      </c>
      <c r="D63" s="1">
        <v>36</v>
      </c>
      <c r="E63" s="1">
        <v>26</v>
      </c>
      <c r="F63" s="1">
        <v>2191</v>
      </c>
      <c r="G63" s="1">
        <v>5</v>
      </c>
      <c r="H63" s="1">
        <v>3</v>
      </c>
      <c r="I63" s="1">
        <f t="shared" si="15"/>
        <v>8</v>
      </c>
      <c r="J63" s="1">
        <f t="shared" si="16"/>
        <v>4</v>
      </c>
      <c r="K63" s="1">
        <v>1</v>
      </c>
      <c r="L63" s="1">
        <v>1</v>
      </c>
      <c r="M63" s="10">
        <f t="shared" si="4"/>
        <v>5.5555555555555552E-2</v>
      </c>
      <c r="N63" s="10">
        <f t="shared" si="5"/>
        <v>3.3333333333333333E-2</v>
      </c>
      <c r="O63" s="10">
        <f t="shared" si="6"/>
        <v>8.8888888888888892E-2</v>
      </c>
      <c r="P63" s="11">
        <f>F63/$F$290</f>
        <v>0.18599320882852291</v>
      </c>
      <c r="Q63" s="11">
        <f>I63/$I$290</f>
        <v>0.12698412698412698</v>
      </c>
      <c r="R63" s="11">
        <f t="shared" si="7"/>
        <v>1</v>
      </c>
    </row>
    <row r="64" spans="1:18" x14ac:dyDescent="0.3">
      <c r="A64" s="1" t="s">
        <v>53</v>
      </c>
      <c r="B64" s="1" t="s">
        <v>38</v>
      </c>
      <c r="C64" s="1" t="s">
        <v>62</v>
      </c>
      <c r="D64" s="1">
        <v>22</v>
      </c>
      <c r="E64" s="1">
        <v>9</v>
      </c>
      <c r="F64" s="1">
        <v>915</v>
      </c>
      <c r="G64" s="1">
        <v>1</v>
      </c>
      <c r="H64" s="1">
        <v>1</v>
      </c>
      <c r="I64" s="1">
        <f t="shared" si="15"/>
        <v>2</v>
      </c>
      <c r="J64" s="1">
        <f t="shared" si="16"/>
        <v>1</v>
      </c>
      <c r="K64" s="1">
        <v>0</v>
      </c>
      <c r="L64" s="1">
        <v>0</v>
      </c>
      <c r="M64" s="10">
        <f t="shared" si="4"/>
        <v>1.1111111111111112E-2</v>
      </c>
      <c r="N64" s="10">
        <f t="shared" si="5"/>
        <v>1.1111111111111112E-2</v>
      </c>
      <c r="O64" s="10">
        <f t="shared" si="6"/>
        <v>2.2222222222222223E-2</v>
      </c>
      <c r="P64" s="11">
        <f>F64/$F$290</f>
        <v>7.7674023769100167E-2</v>
      </c>
      <c r="Q64" s="11">
        <f>I64/$I$290</f>
        <v>3.1746031746031744E-2</v>
      </c>
      <c r="R64" s="11"/>
    </row>
    <row r="65" spans="1:18" x14ac:dyDescent="0.3">
      <c r="A65" s="3" t="s">
        <v>53</v>
      </c>
      <c r="B65" s="3" t="s">
        <v>46</v>
      </c>
      <c r="C65" s="3" t="s">
        <v>47</v>
      </c>
      <c r="D65" s="3">
        <v>40</v>
      </c>
      <c r="E65" s="3">
        <v>37</v>
      </c>
      <c r="F65" s="3">
        <v>3339</v>
      </c>
      <c r="G65" s="3">
        <v>24</v>
      </c>
      <c r="H65" s="3">
        <v>6</v>
      </c>
      <c r="I65" s="3">
        <f t="shared" si="14"/>
        <v>30</v>
      </c>
      <c r="J65" s="3">
        <f t="shared" si="11"/>
        <v>19</v>
      </c>
      <c r="K65" s="3">
        <v>5</v>
      </c>
      <c r="L65" s="3">
        <v>5</v>
      </c>
      <c r="M65" s="4">
        <f t="shared" si="4"/>
        <v>0.26666666666666666</v>
      </c>
      <c r="N65" s="4">
        <f t="shared" si="5"/>
        <v>6.6666666666666666E-2</v>
      </c>
      <c r="O65" s="4">
        <f t="shared" si="6"/>
        <v>0.33333333333333331</v>
      </c>
      <c r="P65" s="5">
        <f>F65/$F$291</f>
        <v>0.26186181475962672</v>
      </c>
      <c r="Q65" s="5">
        <f>I65/$I$291</f>
        <v>0.30612244897959184</v>
      </c>
      <c r="R65" s="5">
        <f t="shared" si="7"/>
        <v>1</v>
      </c>
    </row>
    <row r="66" spans="1:18" x14ac:dyDescent="0.3">
      <c r="A66" s="3" t="s">
        <v>53</v>
      </c>
      <c r="B66" s="3" t="s">
        <v>46</v>
      </c>
      <c r="C66" s="3" t="s">
        <v>49</v>
      </c>
      <c r="D66" s="3">
        <v>48</v>
      </c>
      <c r="E66" s="3">
        <v>38</v>
      </c>
      <c r="F66" s="3">
        <v>3306</v>
      </c>
      <c r="G66" s="3">
        <v>20</v>
      </c>
      <c r="H66" s="3">
        <v>9</v>
      </c>
      <c r="I66" s="3">
        <f t="shared" si="14"/>
        <v>29</v>
      </c>
      <c r="J66" s="3">
        <f t="shared" si="11"/>
        <v>20</v>
      </c>
      <c r="K66" s="3">
        <v>0</v>
      </c>
      <c r="L66" s="3">
        <v>0</v>
      </c>
      <c r="M66" s="4">
        <f t="shared" si="4"/>
        <v>0.22222222222222221</v>
      </c>
      <c r="N66" s="4">
        <f t="shared" si="5"/>
        <v>0.1</v>
      </c>
      <c r="O66" s="4">
        <f t="shared" si="6"/>
        <v>0.32222222222222224</v>
      </c>
      <c r="P66" s="5">
        <f t="shared" ref="P66:P69" si="23">F66/$F$291</f>
        <v>0.25927378244843541</v>
      </c>
      <c r="Q66" s="5">
        <f t="shared" ref="Q66:Q69" si="24">I66/$I$291</f>
        <v>0.29591836734693877</v>
      </c>
      <c r="R66" s="5"/>
    </row>
    <row r="67" spans="1:18" x14ac:dyDescent="0.3">
      <c r="A67" s="3" t="s">
        <v>53</v>
      </c>
      <c r="B67" s="3" t="s">
        <v>46</v>
      </c>
      <c r="C67" s="3" t="s">
        <v>51</v>
      </c>
      <c r="D67" s="3">
        <v>49</v>
      </c>
      <c r="E67" s="3">
        <v>37</v>
      </c>
      <c r="F67" s="3">
        <v>3194</v>
      </c>
      <c r="G67" s="3">
        <v>15</v>
      </c>
      <c r="H67" s="3">
        <v>1</v>
      </c>
      <c r="I67" s="3">
        <f t="shared" si="14"/>
        <v>16</v>
      </c>
      <c r="J67" s="3">
        <f t="shared" si="11"/>
        <v>15</v>
      </c>
      <c r="K67" s="3">
        <v>0</v>
      </c>
      <c r="L67" s="3">
        <v>0</v>
      </c>
      <c r="M67" s="4">
        <f t="shared" ref="M67:M70" si="25">G67/90</f>
        <v>0.16666666666666666</v>
      </c>
      <c r="N67" s="4">
        <f t="shared" ref="N67:N70" si="26">H67/90</f>
        <v>1.1111111111111112E-2</v>
      </c>
      <c r="O67" s="4">
        <f t="shared" ref="O67:O214" si="27">I67/90</f>
        <v>0.17777777777777778</v>
      </c>
      <c r="P67" s="5">
        <f t="shared" si="23"/>
        <v>0.25049015763469534</v>
      </c>
      <c r="Q67" s="5">
        <f t="shared" si="24"/>
        <v>0.16326530612244897</v>
      </c>
      <c r="R67" s="5"/>
    </row>
    <row r="68" spans="1:18" x14ac:dyDescent="0.3">
      <c r="A68" s="3" t="s">
        <v>53</v>
      </c>
      <c r="B68" s="3" t="s">
        <v>46</v>
      </c>
      <c r="C68" s="3" t="s">
        <v>54</v>
      </c>
      <c r="D68" s="3">
        <v>33</v>
      </c>
      <c r="E68" s="3">
        <v>14</v>
      </c>
      <c r="F68" s="3">
        <v>1618</v>
      </c>
      <c r="G68" s="3">
        <v>6</v>
      </c>
      <c r="H68" s="3">
        <v>4</v>
      </c>
      <c r="I68" s="3">
        <f t="shared" si="14"/>
        <v>10</v>
      </c>
      <c r="J68" s="3">
        <f t="shared" si="11"/>
        <v>6</v>
      </c>
      <c r="K68" s="3">
        <v>0</v>
      </c>
      <c r="L68" s="3">
        <v>0</v>
      </c>
      <c r="M68" s="4">
        <f t="shared" si="25"/>
        <v>6.6666666666666666E-2</v>
      </c>
      <c r="N68" s="4">
        <f t="shared" si="26"/>
        <v>4.4444444444444446E-2</v>
      </c>
      <c r="O68" s="4">
        <f t="shared" si="27"/>
        <v>0.1111111111111111</v>
      </c>
      <c r="P68" s="5">
        <f t="shared" si="23"/>
        <v>0.12689200846992393</v>
      </c>
      <c r="Q68" s="5">
        <f t="shared" si="24"/>
        <v>0.10204081632653061</v>
      </c>
      <c r="R68" s="5"/>
    </row>
    <row r="69" spans="1:18" x14ac:dyDescent="0.3">
      <c r="A69" s="3" t="s">
        <v>53</v>
      </c>
      <c r="B69" s="3" t="s">
        <v>46</v>
      </c>
      <c r="C69" s="3" t="s">
        <v>50</v>
      </c>
      <c r="D69" s="3">
        <v>35</v>
      </c>
      <c r="E69" s="3">
        <v>11</v>
      </c>
      <c r="F69" s="3">
        <v>1294</v>
      </c>
      <c r="G69" s="3">
        <v>8</v>
      </c>
      <c r="H69" s="3">
        <v>5</v>
      </c>
      <c r="I69" s="3">
        <f t="shared" si="14"/>
        <v>13</v>
      </c>
      <c r="J69" s="3">
        <f t="shared" si="11"/>
        <v>8</v>
      </c>
      <c r="K69" s="3">
        <v>0</v>
      </c>
      <c r="L69" s="3">
        <v>0</v>
      </c>
      <c r="M69" s="4">
        <f t="shared" si="25"/>
        <v>8.8888888888888892E-2</v>
      </c>
      <c r="N69" s="4">
        <f t="shared" si="26"/>
        <v>5.5555555555555552E-2</v>
      </c>
      <c r="O69" s="4">
        <f t="shared" si="27"/>
        <v>0.14444444444444443</v>
      </c>
      <c r="P69" s="5">
        <f t="shared" si="23"/>
        <v>0.10148223668731864</v>
      </c>
      <c r="Q69" s="5">
        <f t="shared" si="24"/>
        <v>0.1326530612244898</v>
      </c>
      <c r="R69" s="5"/>
    </row>
    <row r="70" spans="1:18" x14ac:dyDescent="0.3">
      <c r="A70" s="1" t="s">
        <v>76</v>
      </c>
      <c r="B70" s="1" t="s">
        <v>13</v>
      </c>
      <c r="C70" s="1" t="s">
        <v>15</v>
      </c>
      <c r="D70" s="1">
        <v>46</v>
      </c>
      <c r="E70" s="1">
        <v>43</v>
      </c>
      <c r="F70" s="1">
        <v>3869</v>
      </c>
      <c r="G70" s="1">
        <v>23</v>
      </c>
      <c r="H70" s="1">
        <v>12</v>
      </c>
      <c r="I70" s="1">
        <f t="shared" ref="I70:I106" si="28">SUM(G70,H70)</f>
        <v>35</v>
      </c>
      <c r="J70" s="1">
        <f t="shared" ref="J70:J214" si="29">G70-K70</f>
        <v>20</v>
      </c>
      <c r="K70" s="1">
        <v>3</v>
      </c>
      <c r="L70" s="1">
        <v>3</v>
      </c>
      <c r="M70" s="10">
        <f t="shared" si="25"/>
        <v>0.25555555555555554</v>
      </c>
      <c r="N70" s="10">
        <f t="shared" si="26"/>
        <v>0.13333333333333333</v>
      </c>
      <c r="O70" s="10">
        <f t="shared" si="27"/>
        <v>0.3888888888888889</v>
      </c>
      <c r="P70" s="11">
        <f t="shared" ref="P70:P76" si="30">F70/$F$292</f>
        <v>0.27129934787181825</v>
      </c>
      <c r="Q70" s="11">
        <f t="shared" ref="Q70:Q76" si="31">I70/$I$292</f>
        <v>0.33653846153846156</v>
      </c>
      <c r="R70" s="11">
        <f>K70/L70</f>
        <v>1</v>
      </c>
    </row>
    <row r="71" spans="1:18" x14ac:dyDescent="0.3">
      <c r="A71" s="1" t="s">
        <v>76</v>
      </c>
      <c r="B71" s="1" t="s">
        <v>13</v>
      </c>
      <c r="C71" s="1" t="s">
        <v>14</v>
      </c>
      <c r="D71" s="1">
        <v>50</v>
      </c>
      <c r="E71" s="1">
        <v>42</v>
      </c>
      <c r="F71" s="1">
        <v>3795</v>
      </c>
      <c r="G71" s="1">
        <v>10</v>
      </c>
      <c r="H71" s="1">
        <v>12</v>
      </c>
      <c r="I71" s="1">
        <f t="shared" si="28"/>
        <v>22</v>
      </c>
      <c r="J71" s="1">
        <f t="shared" si="29"/>
        <v>10</v>
      </c>
      <c r="K71" s="1">
        <v>0</v>
      </c>
      <c r="L71" s="1">
        <v>0</v>
      </c>
      <c r="M71" s="10">
        <f t="shared" ref="M71:M214" si="32">G71/90</f>
        <v>0.1111111111111111</v>
      </c>
      <c r="N71" s="10">
        <f t="shared" ref="N71:N214" si="33">H71/90</f>
        <v>0.13333333333333333</v>
      </c>
      <c r="O71" s="10">
        <f t="shared" si="27"/>
        <v>0.24444444444444444</v>
      </c>
      <c r="P71" s="11">
        <f t="shared" si="30"/>
        <v>0.26611037094172918</v>
      </c>
      <c r="Q71" s="11">
        <f t="shared" si="31"/>
        <v>0.21153846153846154</v>
      </c>
    </row>
    <row r="72" spans="1:18" x14ac:dyDescent="0.3">
      <c r="A72" s="1" t="s">
        <v>76</v>
      </c>
      <c r="B72" s="1" t="s">
        <v>13</v>
      </c>
      <c r="C72" s="1" t="s">
        <v>16</v>
      </c>
      <c r="D72" s="1">
        <v>45</v>
      </c>
      <c r="E72" s="1">
        <v>40</v>
      </c>
      <c r="F72" s="1">
        <v>3570</v>
      </c>
      <c r="G72" s="1">
        <v>22</v>
      </c>
      <c r="H72" s="1">
        <v>9</v>
      </c>
      <c r="I72" s="1">
        <f t="shared" si="28"/>
        <v>31</v>
      </c>
      <c r="J72" s="1">
        <f t="shared" si="29"/>
        <v>22</v>
      </c>
      <c r="K72" s="1">
        <v>0</v>
      </c>
      <c r="L72" s="1">
        <v>0</v>
      </c>
      <c r="M72" s="10">
        <f t="shared" si="32"/>
        <v>0.24444444444444444</v>
      </c>
      <c r="N72" s="10">
        <f t="shared" si="33"/>
        <v>0.1</v>
      </c>
      <c r="O72" s="10">
        <f t="shared" si="27"/>
        <v>0.34444444444444444</v>
      </c>
      <c r="P72" s="11">
        <f t="shared" si="30"/>
        <v>0.25033307622186385</v>
      </c>
      <c r="Q72" s="11">
        <f t="shared" si="31"/>
        <v>0.29807692307692307</v>
      </c>
    </row>
    <row r="73" spans="1:18" x14ac:dyDescent="0.3">
      <c r="A73" s="1" t="s">
        <v>76</v>
      </c>
      <c r="B73" s="1" t="s">
        <v>13</v>
      </c>
      <c r="C73" s="1" t="s">
        <v>52</v>
      </c>
      <c r="D73" s="1">
        <v>40</v>
      </c>
      <c r="E73" s="1">
        <v>13</v>
      </c>
      <c r="F73" s="1">
        <v>1372</v>
      </c>
      <c r="G73" s="1">
        <v>6</v>
      </c>
      <c r="H73" s="1">
        <v>2</v>
      </c>
      <c r="I73" s="1">
        <f t="shared" si="28"/>
        <v>8</v>
      </c>
      <c r="J73" s="1">
        <f t="shared" si="29"/>
        <v>6</v>
      </c>
      <c r="K73" s="1">
        <v>0</v>
      </c>
      <c r="L73" s="1">
        <v>0</v>
      </c>
      <c r="M73" s="10">
        <f t="shared" si="32"/>
        <v>6.6666666666666666E-2</v>
      </c>
      <c r="N73" s="10">
        <f t="shared" si="33"/>
        <v>2.2222222222222223E-2</v>
      </c>
      <c r="O73" s="10">
        <f t="shared" si="27"/>
        <v>8.8888888888888892E-2</v>
      </c>
      <c r="P73" s="11">
        <f t="shared" si="30"/>
        <v>9.6206437136245701E-2</v>
      </c>
      <c r="Q73" s="11">
        <f t="shared" si="31"/>
        <v>7.6923076923076927E-2</v>
      </c>
    </row>
    <row r="74" spans="1:18" x14ac:dyDescent="0.3">
      <c r="A74" s="1" t="s">
        <v>76</v>
      </c>
      <c r="B74" s="1" t="s">
        <v>13</v>
      </c>
      <c r="C74" s="1" t="s">
        <v>77</v>
      </c>
      <c r="D74" s="1">
        <v>20</v>
      </c>
      <c r="E74" s="1">
        <v>7</v>
      </c>
      <c r="F74" s="1">
        <v>803</v>
      </c>
      <c r="G74" s="1">
        <v>1</v>
      </c>
      <c r="H74" s="1">
        <v>2</v>
      </c>
      <c r="I74" s="1">
        <f t="shared" si="28"/>
        <v>3</v>
      </c>
      <c r="J74" s="1">
        <f t="shared" si="29"/>
        <v>1</v>
      </c>
      <c r="K74" s="1">
        <v>0</v>
      </c>
      <c r="L74" s="1">
        <v>0</v>
      </c>
      <c r="M74" s="10">
        <f t="shared" si="32"/>
        <v>1.1111111111111112E-2</v>
      </c>
      <c r="N74" s="10">
        <f t="shared" si="33"/>
        <v>2.2222222222222223E-2</v>
      </c>
      <c r="O74" s="10">
        <f t="shared" si="27"/>
        <v>3.3333333333333333E-2</v>
      </c>
      <c r="P74" s="11">
        <f t="shared" si="30"/>
        <v>5.6307411822452844E-2</v>
      </c>
      <c r="Q74" s="11">
        <f t="shared" si="31"/>
        <v>2.8846153846153848E-2</v>
      </c>
    </row>
    <row r="75" spans="1:18" x14ac:dyDescent="0.3">
      <c r="A75" s="1" t="s">
        <v>76</v>
      </c>
      <c r="B75" s="1" t="s">
        <v>13</v>
      </c>
      <c r="C75" s="1" t="s">
        <v>78</v>
      </c>
      <c r="D75" s="1">
        <v>12</v>
      </c>
      <c r="E75" s="1">
        <v>6</v>
      </c>
      <c r="F75" s="1">
        <v>621</v>
      </c>
      <c r="G75" s="1">
        <v>3</v>
      </c>
      <c r="H75" s="1">
        <v>1</v>
      </c>
      <c r="I75" s="1">
        <f t="shared" si="28"/>
        <v>4</v>
      </c>
      <c r="J75" s="1">
        <f t="shared" si="29"/>
        <v>3</v>
      </c>
      <c r="K75" s="1">
        <v>0</v>
      </c>
      <c r="L75" s="1">
        <v>0</v>
      </c>
      <c r="M75" s="10">
        <f t="shared" si="32"/>
        <v>3.3333333333333333E-2</v>
      </c>
      <c r="N75" s="10">
        <f t="shared" si="33"/>
        <v>1.1111111111111112E-2</v>
      </c>
      <c r="O75" s="10">
        <f t="shared" si="27"/>
        <v>4.4444444444444446E-2</v>
      </c>
      <c r="P75" s="11">
        <f t="shared" si="30"/>
        <v>4.3545333426828411E-2</v>
      </c>
      <c r="Q75" s="11">
        <f t="shared" si="31"/>
        <v>3.8461538461538464E-2</v>
      </c>
    </row>
    <row r="76" spans="1:18" x14ac:dyDescent="0.3">
      <c r="A76" s="1" t="s">
        <v>76</v>
      </c>
      <c r="B76" s="1" t="s">
        <v>13</v>
      </c>
      <c r="C76" s="1" t="s">
        <v>79</v>
      </c>
      <c r="D76" s="1">
        <v>9</v>
      </c>
      <c r="E76" s="1">
        <v>2</v>
      </c>
      <c r="F76" s="1">
        <v>231</v>
      </c>
      <c r="G76" s="1">
        <v>1</v>
      </c>
      <c r="H76" s="1">
        <v>0</v>
      </c>
      <c r="I76" s="1">
        <f t="shared" si="28"/>
        <v>1</v>
      </c>
      <c r="J76" s="1">
        <f t="shared" si="29"/>
        <v>1</v>
      </c>
      <c r="K76" s="1">
        <v>0</v>
      </c>
      <c r="L76" s="1">
        <v>0</v>
      </c>
      <c r="M76" s="10">
        <f t="shared" si="32"/>
        <v>1.1111111111111112E-2</v>
      </c>
      <c r="N76" s="10">
        <f t="shared" si="33"/>
        <v>0</v>
      </c>
      <c r="O76" s="10">
        <f t="shared" si="27"/>
        <v>1.1111111111111112E-2</v>
      </c>
      <c r="P76" s="11">
        <f t="shared" si="30"/>
        <v>1.6198022579061777E-2</v>
      </c>
      <c r="Q76" s="11">
        <f t="shared" si="31"/>
        <v>9.6153846153846159E-3</v>
      </c>
    </row>
    <row r="77" spans="1:18" x14ac:dyDescent="0.3">
      <c r="A77" s="3" t="s">
        <v>76</v>
      </c>
      <c r="B77" s="3" t="s">
        <v>20</v>
      </c>
      <c r="C77" s="3" t="s">
        <v>23</v>
      </c>
      <c r="D77" s="3">
        <v>44</v>
      </c>
      <c r="E77" s="3">
        <v>41</v>
      </c>
      <c r="F77" s="3">
        <v>3724</v>
      </c>
      <c r="G77" s="3">
        <v>29</v>
      </c>
      <c r="H77" s="3">
        <v>3</v>
      </c>
      <c r="I77" s="3">
        <f t="shared" si="28"/>
        <v>32</v>
      </c>
      <c r="J77" s="3">
        <f t="shared" si="29"/>
        <v>26</v>
      </c>
      <c r="K77" s="3">
        <v>3</v>
      </c>
      <c r="L77" s="3">
        <v>3</v>
      </c>
      <c r="M77" s="4">
        <f t="shared" si="32"/>
        <v>0.32222222222222224</v>
      </c>
      <c r="N77" s="4">
        <f t="shared" si="33"/>
        <v>3.3333333333333333E-2</v>
      </c>
      <c r="O77" s="4">
        <f t="shared" si="27"/>
        <v>0.35555555555555557</v>
      </c>
      <c r="P77" s="5">
        <f>F77/$F$293</f>
        <v>0.34162003485918724</v>
      </c>
      <c r="Q77" s="5">
        <f>I77/$I$293</f>
        <v>0.42105263157894735</v>
      </c>
      <c r="R77" s="5">
        <f>K77/L77</f>
        <v>1</v>
      </c>
    </row>
    <row r="78" spans="1:18" x14ac:dyDescent="0.3">
      <c r="A78" s="3" t="s">
        <v>76</v>
      </c>
      <c r="B78" s="3" t="s">
        <v>20</v>
      </c>
      <c r="C78" s="3" t="s">
        <v>80</v>
      </c>
      <c r="D78" s="3">
        <v>42</v>
      </c>
      <c r="E78" s="3">
        <v>29</v>
      </c>
      <c r="F78" s="3">
        <v>2715</v>
      </c>
      <c r="G78" s="3">
        <v>8</v>
      </c>
      <c r="H78" s="3">
        <v>10</v>
      </c>
      <c r="I78" s="3">
        <f t="shared" si="28"/>
        <v>18</v>
      </c>
      <c r="J78" s="3">
        <f t="shared" si="29"/>
        <v>6</v>
      </c>
      <c r="K78" s="3">
        <v>2</v>
      </c>
      <c r="L78" s="3">
        <v>2</v>
      </c>
      <c r="M78" s="4">
        <f t="shared" si="32"/>
        <v>8.8888888888888892E-2</v>
      </c>
      <c r="N78" s="4">
        <f t="shared" si="33"/>
        <v>0.1111111111111111</v>
      </c>
      <c r="O78" s="4">
        <f t="shared" si="27"/>
        <v>0.2</v>
      </c>
      <c r="P78" s="5">
        <f t="shared" ref="P78:P81" si="34">F78/$F$293</f>
        <v>0.24905971929180809</v>
      </c>
      <c r="Q78" s="5">
        <f t="shared" ref="Q78:Q81" si="35">I78/$I$293</f>
        <v>0.23684210526315788</v>
      </c>
      <c r="R78" s="5">
        <f>K78/L78</f>
        <v>1</v>
      </c>
    </row>
    <row r="79" spans="1:18" x14ac:dyDescent="0.3">
      <c r="A79" s="3" t="s">
        <v>76</v>
      </c>
      <c r="B79" s="3" t="s">
        <v>20</v>
      </c>
      <c r="C79" s="3" t="s">
        <v>21</v>
      </c>
      <c r="D79" s="3">
        <v>39</v>
      </c>
      <c r="E79" s="3">
        <v>30</v>
      </c>
      <c r="F79" s="3">
        <v>2572</v>
      </c>
      <c r="G79" s="3">
        <v>12</v>
      </c>
      <c r="H79" s="3">
        <v>4</v>
      </c>
      <c r="I79" s="3">
        <f t="shared" si="28"/>
        <v>16</v>
      </c>
      <c r="J79" s="3">
        <f t="shared" si="29"/>
        <v>12</v>
      </c>
      <c r="K79" s="3">
        <v>0</v>
      </c>
      <c r="L79" s="3">
        <v>0</v>
      </c>
      <c r="M79" s="4">
        <f t="shared" si="32"/>
        <v>0.13333333333333333</v>
      </c>
      <c r="N79" s="4">
        <f t="shared" si="33"/>
        <v>4.4444444444444446E-2</v>
      </c>
      <c r="O79" s="4">
        <f t="shared" si="27"/>
        <v>0.17777777777777778</v>
      </c>
      <c r="P79" s="5">
        <f t="shared" si="34"/>
        <v>0.23594165672874048</v>
      </c>
      <c r="Q79" s="5">
        <f t="shared" si="35"/>
        <v>0.21052631578947367</v>
      </c>
      <c r="R79" s="3"/>
    </row>
    <row r="80" spans="1:18" x14ac:dyDescent="0.3">
      <c r="A80" s="3" t="s">
        <v>76</v>
      </c>
      <c r="B80" s="3" t="s">
        <v>20</v>
      </c>
      <c r="C80" s="3" t="s">
        <v>81</v>
      </c>
      <c r="D80" s="3">
        <v>22</v>
      </c>
      <c r="E80" s="3">
        <v>12</v>
      </c>
      <c r="F80" s="3">
        <v>1044</v>
      </c>
      <c r="G80" s="3">
        <v>3</v>
      </c>
      <c r="H80" s="3">
        <v>3</v>
      </c>
      <c r="I80" s="3">
        <f t="shared" si="28"/>
        <v>6</v>
      </c>
      <c r="J80" s="3">
        <f t="shared" si="29"/>
        <v>3</v>
      </c>
      <c r="K80" s="3">
        <v>0</v>
      </c>
      <c r="L80" s="3">
        <v>0</v>
      </c>
      <c r="M80" s="4">
        <f t="shared" si="32"/>
        <v>3.3333333333333333E-2</v>
      </c>
      <c r="N80" s="4">
        <f t="shared" si="33"/>
        <v>3.3333333333333333E-2</v>
      </c>
      <c r="O80" s="4">
        <f t="shared" si="27"/>
        <v>6.6666666666666666E-2</v>
      </c>
      <c r="P80" s="5">
        <f t="shared" si="34"/>
        <v>9.5771030180717365E-2</v>
      </c>
      <c r="Q80" s="5">
        <f t="shared" si="35"/>
        <v>7.8947368421052627E-2</v>
      </c>
      <c r="R80" s="3"/>
    </row>
    <row r="81" spans="1:18" x14ac:dyDescent="0.3">
      <c r="A81" s="3" t="s">
        <v>76</v>
      </c>
      <c r="B81" s="3" t="s">
        <v>20</v>
      </c>
      <c r="C81" s="3" t="s">
        <v>25</v>
      </c>
      <c r="D81" s="3">
        <v>17</v>
      </c>
      <c r="E81" s="3">
        <v>9</v>
      </c>
      <c r="F81" s="3">
        <v>846</v>
      </c>
      <c r="G81" s="3">
        <v>4</v>
      </c>
      <c r="H81" s="3">
        <v>0</v>
      </c>
      <c r="I81" s="3">
        <f t="shared" si="28"/>
        <v>4</v>
      </c>
      <c r="J81" s="3">
        <f t="shared" si="29"/>
        <v>4</v>
      </c>
      <c r="K81" s="3">
        <v>0</v>
      </c>
      <c r="L81" s="3">
        <v>0</v>
      </c>
      <c r="M81" s="4">
        <f t="shared" si="32"/>
        <v>4.4444444444444446E-2</v>
      </c>
      <c r="N81" s="4">
        <f t="shared" si="33"/>
        <v>0</v>
      </c>
      <c r="O81" s="4">
        <f t="shared" si="27"/>
        <v>4.4444444444444446E-2</v>
      </c>
      <c r="P81" s="5">
        <f t="shared" si="34"/>
        <v>7.7607558939546836E-2</v>
      </c>
      <c r="Q81" s="5">
        <f t="shared" si="35"/>
        <v>5.2631578947368418E-2</v>
      </c>
      <c r="R81" s="3"/>
    </row>
    <row r="82" spans="1:18" x14ac:dyDescent="0.3">
      <c r="A82" s="1" t="s">
        <v>76</v>
      </c>
      <c r="B82" s="1" t="s">
        <v>26</v>
      </c>
      <c r="C82" s="1" t="s">
        <v>57</v>
      </c>
      <c r="D82" s="1">
        <v>47</v>
      </c>
      <c r="E82" s="1">
        <v>38</v>
      </c>
      <c r="F82" s="1">
        <v>3357</v>
      </c>
      <c r="G82" s="1">
        <v>11</v>
      </c>
      <c r="H82" s="1">
        <v>9</v>
      </c>
      <c r="I82" s="1">
        <f t="shared" si="28"/>
        <v>20</v>
      </c>
      <c r="J82" s="1">
        <f t="shared" si="29"/>
        <v>7</v>
      </c>
      <c r="K82" s="1">
        <v>4</v>
      </c>
      <c r="L82" s="1">
        <v>4</v>
      </c>
      <c r="M82" s="10">
        <f t="shared" si="32"/>
        <v>0.12222222222222222</v>
      </c>
      <c r="N82" s="10">
        <f t="shared" si="33"/>
        <v>0.1</v>
      </c>
      <c r="O82" s="10">
        <f t="shared" si="27"/>
        <v>0.22222222222222221</v>
      </c>
      <c r="P82" s="7">
        <f>F82/$F$294</f>
        <v>0.24888790035587188</v>
      </c>
      <c r="Q82" s="7">
        <f>I82/$I$294</f>
        <v>0.21505376344086022</v>
      </c>
      <c r="R82" s="6">
        <f>K82/L82</f>
        <v>1</v>
      </c>
    </row>
    <row r="83" spans="1:18" x14ac:dyDescent="0.3">
      <c r="A83" s="1" t="s">
        <v>76</v>
      </c>
      <c r="B83" s="1" t="s">
        <v>26</v>
      </c>
      <c r="C83" s="1" t="s">
        <v>82</v>
      </c>
      <c r="D83" s="1">
        <v>47</v>
      </c>
      <c r="E83" s="1">
        <v>33</v>
      </c>
      <c r="F83" s="1">
        <v>2955</v>
      </c>
      <c r="G83" s="1">
        <v>18</v>
      </c>
      <c r="H83" s="1">
        <v>4</v>
      </c>
      <c r="I83" s="1">
        <f t="shared" si="28"/>
        <v>22</v>
      </c>
      <c r="J83" s="1">
        <f t="shared" si="29"/>
        <v>18</v>
      </c>
      <c r="K83" s="1">
        <v>0</v>
      </c>
      <c r="L83" s="1">
        <v>0</v>
      </c>
      <c r="M83" s="10">
        <f t="shared" si="32"/>
        <v>0.2</v>
      </c>
      <c r="N83" s="10">
        <f t="shared" si="33"/>
        <v>4.4444444444444446E-2</v>
      </c>
      <c r="O83" s="10">
        <f t="shared" si="27"/>
        <v>0.24444444444444444</v>
      </c>
      <c r="P83" s="7">
        <f t="shared" ref="P83:P88" si="36">F83/$F$294</f>
        <v>0.21908362989323843</v>
      </c>
      <c r="Q83" s="7">
        <f t="shared" ref="Q83:Q88" si="37">I83/$I$294</f>
        <v>0.23655913978494625</v>
      </c>
    </row>
    <row r="84" spans="1:18" x14ac:dyDescent="0.3">
      <c r="A84" s="1" t="s">
        <v>76</v>
      </c>
      <c r="B84" s="1" t="s">
        <v>26</v>
      </c>
      <c r="C84" s="1" t="s">
        <v>83</v>
      </c>
      <c r="D84" s="1">
        <v>34</v>
      </c>
      <c r="E84" s="1">
        <v>27</v>
      </c>
      <c r="F84" s="1">
        <v>2339</v>
      </c>
      <c r="G84" s="1">
        <v>11</v>
      </c>
      <c r="H84" s="1">
        <v>7</v>
      </c>
      <c r="I84" s="1">
        <f t="shared" si="28"/>
        <v>18</v>
      </c>
      <c r="J84" s="1">
        <f t="shared" si="29"/>
        <v>11</v>
      </c>
      <c r="K84" s="1">
        <v>0</v>
      </c>
      <c r="L84" s="1">
        <v>0</v>
      </c>
      <c r="M84" s="10">
        <f t="shared" si="32"/>
        <v>0.12222222222222222</v>
      </c>
      <c r="N84" s="10">
        <f t="shared" si="33"/>
        <v>7.7777777777777779E-2</v>
      </c>
      <c r="O84" s="10">
        <f t="shared" si="27"/>
        <v>0.2</v>
      </c>
      <c r="P84" s="7">
        <f t="shared" si="36"/>
        <v>0.17341340450771056</v>
      </c>
      <c r="Q84" s="7">
        <f t="shared" si="37"/>
        <v>0.19354838709677419</v>
      </c>
    </row>
    <row r="85" spans="1:18" x14ac:dyDescent="0.3">
      <c r="A85" s="1" t="s">
        <v>76</v>
      </c>
      <c r="B85" s="1" t="s">
        <v>26</v>
      </c>
      <c r="C85" s="1" t="s">
        <v>59</v>
      </c>
      <c r="D85" s="1">
        <v>33</v>
      </c>
      <c r="E85" s="1">
        <v>13</v>
      </c>
      <c r="F85" s="1">
        <v>1487</v>
      </c>
      <c r="G85" s="1">
        <v>3</v>
      </c>
      <c r="H85" s="1">
        <v>6</v>
      </c>
      <c r="I85" s="1">
        <f t="shared" si="28"/>
        <v>9</v>
      </c>
      <c r="J85" s="1">
        <f t="shared" si="29"/>
        <v>3</v>
      </c>
      <c r="K85" s="1">
        <v>0</v>
      </c>
      <c r="L85" s="1">
        <v>0</v>
      </c>
      <c r="M85" s="10">
        <f t="shared" si="32"/>
        <v>3.3333333333333333E-2</v>
      </c>
      <c r="N85" s="10">
        <f t="shared" si="33"/>
        <v>6.6666666666666666E-2</v>
      </c>
      <c r="O85" s="10">
        <f t="shared" si="27"/>
        <v>0.1</v>
      </c>
      <c r="P85" s="7">
        <f t="shared" si="36"/>
        <v>0.11024614472123369</v>
      </c>
      <c r="Q85" s="7">
        <f t="shared" si="37"/>
        <v>9.6774193548387094E-2</v>
      </c>
    </row>
    <row r="86" spans="1:18" x14ac:dyDescent="0.3">
      <c r="A86" s="1" t="s">
        <v>76</v>
      </c>
      <c r="B86" s="1" t="s">
        <v>26</v>
      </c>
      <c r="C86" s="1" t="s">
        <v>22</v>
      </c>
      <c r="D86" s="1">
        <v>25</v>
      </c>
      <c r="E86" s="1">
        <v>17</v>
      </c>
      <c r="F86" s="1">
        <v>1399</v>
      </c>
      <c r="G86" s="1">
        <v>10</v>
      </c>
      <c r="H86" s="1">
        <v>1</v>
      </c>
      <c r="I86" s="1">
        <f t="shared" si="28"/>
        <v>11</v>
      </c>
      <c r="J86" s="1">
        <f t="shared" si="29"/>
        <v>10</v>
      </c>
      <c r="K86" s="1">
        <v>0</v>
      </c>
      <c r="L86" s="1">
        <v>0</v>
      </c>
      <c r="M86" s="10">
        <f t="shared" si="32"/>
        <v>0.1111111111111111</v>
      </c>
      <c r="N86" s="10">
        <f t="shared" si="33"/>
        <v>1.1111111111111112E-2</v>
      </c>
      <c r="O86" s="10">
        <f t="shared" si="27"/>
        <v>0.12222222222222222</v>
      </c>
      <c r="P86" s="7">
        <f t="shared" si="36"/>
        <v>0.10372182680901543</v>
      </c>
      <c r="Q86" s="7">
        <f t="shared" si="37"/>
        <v>0.11827956989247312</v>
      </c>
    </row>
    <row r="87" spans="1:18" x14ac:dyDescent="0.3">
      <c r="A87" s="1" t="s">
        <v>76</v>
      </c>
      <c r="B87" s="1" t="s">
        <v>26</v>
      </c>
      <c r="C87" s="1" t="s">
        <v>29</v>
      </c>
      <c r="D87" s="1">
        <v>23</v>
      </c>
      <c r="E87" s="1">
        <v>13</v>
      </c>
      <c r="F87" s="1">
        <v>1277</v>
      </c>
      <c r="G87" s="1">
        <v>2</v>
      </c>
      <c r="H87" s="1">
        <v>3</v>
      </c>
      <c r="I87" s="1">
        <f t="shared" si="28"/>
        <v>5</v>
      </c>
      <c r="J87" s="1">
        <f t="shared" si="29"/>
        <v>1</v>
      </c>
      <c r="K87" s="1">
        <v>1</v>
      </c>
      <c r="L87" s="1">
        <v>1</v>
      </c>
      <c r="M87" s="10">
        <f t="shared" si="32"/>
        <v>2.2222222222222223E-2</v>
      </c>
      <c r="N87" s="10">
        <f t="shared" si="33"/>
        <v>3.3333333333333333E-2</v>
      </c>
      <c r="O87" s="10">
        <f t="shared" si="27"/>
        <v>5.5555555555555552E-2</v>
      </c>
      <c r="P87" s="7">
        <f t="shared" si="36"/>
        <v>9.4676749703440088E-2</v>
      </c>
      <c r="Q87" s="7">
        <f t="shared" si="37"/>
        <v>5.3763440860215055E-2</v>
      </c>
      <c r="R87" s="6">
        <f>K87/L87</f>
        <v>1</v>
      </c>
    </row>
    <row r="88" spans="1:18" x14ac:dyDescent="0.3">
      <c r="A88" s="1" t="s">
        <v>76</v>
      </c>
      <c r="B88" s="1" t="s">
        <v>26</v>
      </c>
      <c r="C88" s="1" t="s">
        <v>30</v>
      </c>
      <c r="D88" s="1">
        <v>24</v>
      </c>
      <c r="E88" s="1">
        <v>5</v>
      </c>
      <c r="F88" s="1">
        <v>674</v>
      </c>
      <c r="G88" s="1">
        <v>6</v>
      </c>
      <c r="H88" s="1">
        <v>2</v>
      </c>
      <c r="I88" s="1">
        <f t="shared" si="28"/>
        <v>8</v>
      </c>
      <c r="J88" s="1">
        <f t="shared" si="29"/>
        <v>6</v>
      </c>
      <c r="K88" s="1">
        <v>0</v>
      </c>
      <c r="L88" s="1">
        <v>0</v>
      </c>
      <c r="M88" s="10">
        <f t="shared" si="32"/>
        <v>6.6666666666666666E-2</v>
      </c>
      <c r="N88" s="10">
        <f t="shared" si="33"/>
        <v>2.2222222222222223E-2</v>
      </c>
      <c r="O88" s="10">
        <f t="shared" si="27"/>
        <v>8.8888888888888892E-2</v>
      </c>
      <c r="P88" s="7">
        <f t="shared" si="36"/>
        <v>4.9970344009489916E-2</v>
      </c>
      <c r="Q88" s="7">
        <f t="shared" si="37"/>
        <v>8.6021505376344093E-2</v>
      </c>
    </row>
    <row r="89" spans="1:18" x14ac:dyDescent="0.3">
      <c r="A89" s="3" t="s">
        <v>76</v>
      </c>
      <c r="B89" s="3" t="s">
        <v>32</v>
      </c>
      <c r="C89" s="3" t="s">
        <v>33</v>
      </c>
      <c r="D89" s="3">
        <v>52</v>
      </c>
      <c r="E89" s="3">
        <v>44</v>
      </c>
      <c r="F89" s="3">
        <v>4012</v>
      </c>
      <c r="G89" s="3">
        <v>31</v>
      </c>
      <c r="H89" s="3">
        <v>5</v>
      </c>
      <c r="I89" s="3">
        <f t="shared" si="28"/>
        <v>36</v>
      </c>
      <c r="J89" s="3">
        <f t="shared" si="29"/>
        <v>31</v>
      </c>
      <c r="K89" s="3">
        <v>0</v>
      </c>
      <c r="L89" s="3">
        <v>2</v>
      </c>
      <c r="M89" s="4">
        <f t="shared" si="32"/>
        <v>0.34444444444444444</v>
      </c>
      <c r="N89" s="4">
        <f t="shared" si="33"/>
        <v>5.5555555555555552E-2</v>
      </c>
      <c r="O89" s="4">
        <f t="shared" si="27"/>
        <v>0.4</v>
      </c>
      <c r="P89" s="5">
        <f>F89/$F$295</f>
        <v>0.22701295761896678</v>
      </c>
      <c r="Q89" s="5">
        <f>I89/$I$295</f>
        <v>0.22929936305732485</v>
      </c>
      <c r="R89" s="5">
        <f>K89/L89</f>
        <v>0</v>
      </c>
    </row>
    <row r="90" spans="1:18" x14ac:dyDescent="0.3">
      <c r="A90" s="3" t="s">
        <v>76</v>
      </c>
      <c r="B90" s="3" t="s">
        <v>32</v>
      </c>
      <c r="C90" s="3" t="s">
        <v>37</v>
      </c>
      <c r="D90" s="3">
        <v>52</v>
      </c>
      <c r="E90" s="3">
        <v>37</v>
      </c>
      <c r="F90" s="3">
        <v>3332</v>
      </c>
      <c r="G90" s="3">
        <v>8</v>
      </c>
      <c r="H90" s="3">
        <v>10</v>
      </c>
      <c r="I90" s="3">
        <f t="shared" si="28"/>
        <v>18</v>
      </c>
      <c r="J90" s="3">
        <f t="shared" si="29"/>
        <v>8</v>
      </c>
      <c r="K90" s="3">
        <v>0</v>
      </c>
      <c r="L90" s="3">
        <v>0</v>
      </c>
      <c r="M90" s="4">
        <f t="shared" si="32"/>
        <v>8.8888888888888892E-2</v>
      </c>
      <c r="N90" s="4">
        <f t="shared" si="33"/>
        <v>0.1111111111111111</v>
      </c>
      <c r="O90" s="4">
        <f t="shared" si="27"/>
        <v>0.2</v>
      </c>
      <c r="P90" s="5">
        <f t="shared" ref="P90:P94" si="38">F90/$F$295</f>
        <v>0.18853618514117582</v>
      </c>
      <c r="Q90" s="5">
        <f t="shared" ref="Q90:Q94" si="39">I90/$I$295</f>
        <v>0.11464968152866242</v>
      </c>
      <c r="R90" s="3"/>
    </row>
    <row r="91" spans="1:18" x14ac:dyDescent="0.3">
      <c r="A91" s="3" t="s">
        <v>76</v>
      </c>
      <c r="B91" s="3" t="s">
        <v>32</v>
      </c>
      <c r="C91" s="3" t="s">
        <v>36</v>
      </c>
      <c r="D91" s="3">
        <v>53</v>
      </c>
      <c r="E91" s="3">
        <v>34</v>
      </c>
      <c r="F91" s="3">
        <v>3311</v>
      </c>
      <c r="G91" s="3">
        <v>23</v>
      </c>
      <c r="H91" s="3">
        <v>11</v>
      </c>
      <c r="I91" s="3">
        <f t="shared" si="28"/>
        <v>34</v>
      </c>
      <c r="J91" s="3">
        <f t="shared" si="29"/>
        <v>23</v>
      </c>
      <c r="K91" s="3">
        <v>0</v>
      </c>
      <c r="L91" s="3">
        <v>0</v>
      </c>
      <c r="M91" s="4">
        <f t="shared" si="32"/>
        <v>0.25555555555555554</v>
      </c>
      <c r="N91" s="4">
        <f t="shared" si="33"/>
        <v>0.12222222222222222</v>
      </c>
      <c r="O91" s="4">
        <f t="shared" si="27"/>
        <v>0.37777777777777777</v>
      </c>
      <c r="P91" s="5">
        <f t="shared" si="38"/>
        <v>0.18734793187347931</v>
      </c>
      <c r="Q91" s="5">
        <f t="shared" si="39"/>
        <v>0.21656050955414013</v>
      </c>
      <c r="R91" s="3"/>
    </row>
    <row r="92" spans="1:18" x14ac:dyDescent="0.3">
      <c r="A92" s="3" t="s">
        <v>76</v>
      </c>
      <c r="B92" s="3" t="s">
        <v>32</v>
      </c>
      <c r="C92" s="3" t="s">
        <v>60</v>
      </c>
      <c r="D92" s="3">
        <v>50</v>
      </c>
      <c r="E92" s="3">
        <v>35</v>
      </c>
      <c r="F92" s="3">
        <v>3150</v>
      </c>
      <c r="G92" s="3">
        <v>13</v>
      </c>
      <c r="H92" s="3">
        <v>13</v>
      </c>
      <c r="I92" s="3">
        <f t="shared" si="28"/>
        <v>26</v>
      </c>
      <c r="J92" s="3">
        <f t="shared" si="29"/>
        <v>12</v>
      </c>
      <c r="K92" s="3">
        <v>1</v>
      </c>
      <c r="L92" s="3">
        <v>1</v>
      </c>
      <c r="M92" s="4">
        <f t="shared" si="32"/>
        <v>0.14444444444444443</v>
      </c>
      <c r="N92" s="4">
        <f t="shared" si="33"/>
        <v>0.14444444444444443</v>
      </c>
      <c r="O92" s="4">
        <f t="shared" si="27"/>
        <v>0.28888888888888886</v>
      </c>
      <c r="P92" s="5">
        <f t="shared" si="38"/>
        <v>0.17823799015447292</v>
      </c>
      <c r="Q92" s="5">
        <f t="shared" si="39"/>
        <v>0.16560509554140126</v>
      </c>
      <c r="R92" s="5">
        <f>K92/L92</f>
        <v>1</v>
      </c>
    </row>
    <row r="93" spans="1:18" x14ac:dyDescent="0.3">
      <c r="A93" s="3" t="s">
        <v>76</v>
      </c>
      <c r="B93" s="3" t="s">
        <v>32</v>
      </c>
      <c r="C93" s="3" t="s">
        <v>35</v>
      </c>
      <c r="D93" s="3">
        <v>32</v>
      </c>
      <c r="E93" s="3">
        <v>35</v>
      </c>
      <c r="F93" s="3">
        <v>2085</v>
      </c>
      <c r="G93" s="3">
        <v>23</v>
      </c>
      <c r="H93" s="3">
        <v>3</v>
      </c>
      <c r="I93" s="3">
        <f t="shared" si="28"/>
        <v>26</v>
      </c>
      <c r="J93" s="3">
        <f t="shared" si="29"/>
        <v>20</v>
      </c>
      <c r="K93" s="3">
        <v>3</v>
      </c>
      <c r="L93" s="3">
        <v>4</v>
      </c>
      <c r="M93" s="4">
        <f t="shared" si="32"/>
        <v>0.25555555555555554</v>
      </c>
      <c r="N93" s="4">
        <f t="shared" si="33"/>
        <v>3.3333333333333333E-2</v>
      </c>
      <c r="O93" s="4">
        <f t="shared" si="27"/>
        <v>0.28888888888888886</v>
      </c>
      <c r="P93" s="5">
        <f t="shared" si="38"/>
        <v>0.1179765744355797</v>
      </c>
      <c r="Q93" s="5">
        <f t="shared" si="39"/>
        <v>0.16560509554140126</v>
      </c>
      <c r="R93" s="5">
        <f>K93/L93</f>
        <v>0.75</v>
      </c>
    </row>
    <row r="94" spans="1:18" x14ac:dyDescent="0.3">
      <c r="A94" s="3" t="s">
        <v>76</v>
      </c>
      <c r="B94" s="3" t="s">
        <v>32</v>
      </c>
      <c r="C94" s="3" t="s">
        <v>84</v>
      </c>
      <c r="D94" s="3">
        <v>38</v>
      </c>
      <c r="E94" s="3">
        <v>18</v>
      </c>
      <c r="F94" s="3">
        <v>1783</v>
      </c>
      <c r="G94" s="3">
        <v>8</v>
      </c>
      <c r="H94" s="3">
        <v>9</v>
      </c>
      <c r="I94" s="3">
        <f t="shared" si="28"/>
        <v>17</v>
      </c>
      <c r="J94" s="3">
        <f t="shared" si="29"/>
        <v>8</v>
      </c>
      <c r="K94" s="3">
        <v>0</v>
      </c>
      <c r="L94" s="3">
        <v>0</v>
      </c>
      <c r="M94" s="4">
        <f t="shared" si="32"/>
        <v>8.8888888888888892E-2</v>
      </c>
      <c r="N94" s="4">
        <f t="shared" si="33"/>
        <v>0.1</v>
      </c>
      <c r="O94" s="4">
        <f t="shared" si="27"/>
        <v>0.18888888888888888</v>
      </c>
      <c r="P94" s="5">
        <f t="shared" si="38"/>
        <v>0.10088836077632547</v>
      </c>
      <c r="Q94" s="5">
        <f t="shared" si="39"/>
        <v>0.10828025477707007</v>
      </c>
      <c r="R94" s="3"/>
    </row>
    <row r="95" spans="1:18" x14ac:dyDescent="0.3">
      <c r="A95" s="1" t="s">
        <v>76</v>
      </c>
      <c r="B95" s="1" t="s">
        <v>38</v>
      </c>
      <c r="C95" s="1" t="s">
        <v>43</v>
      </c>
      <c r="D95" s="1">
        <v>48</v>
      </c>
      <c r="E95" s="1">
        <v>41</v>
      </c>
      <c r="F95" s="1">
        <v>3552</v>
      </c>
      <c r="G95" s="1">
        <v>23</v>
      </c>
      <c r="H95" s="1">
        <v>9</v>
      </c>
      <c r="I95" s="1">
        <f t="shared" si="28"/>
        <v>32</v>
      </c>
      <c r="J95" s="1">
        <f t="shared" si="29"/>
        <v>22</v>
      </c>
      <c r="K95" s="1">
        <v>1</v>
      </c>
      <c r="L95" s="1">
        <v>2</v>
      </c>
      <c r="M95" s="10">
        <f t="shared" si="32"/>
        <v>0.25555555555555554</v>
      </c>
      <c r="N95" s="10">
        <f t="shared" si="33"/>
        <v>0.1</v>
      </c>
      <c r="O95" s="10">
        <f t="shared" si="27"/>
        <v>0.35555555555555557</v>
      </c>
      <c r="P95" s="7">
        <f>F95/$F$296</f>
        <v>0.26742960397530491</v>
      </c>
      <c r="Q95" s="7">
        <f>I95/$I$296</f>
        <v>0.32323232323232326</v>
      </c>
      <c r="R95" s="7">
        <f>K95/L95</f>
        <v>0.5</v>
      </c>
    </row>
    <row r="96" spans="1:18" x14ac:dyDescent="0.3">
      <c r="A96" s="1" t="s">
        <v>76</v>
      </c>
      <c r="B96" s="1" t="s">
        <v>38</v>
      </c>
      <c r="C96" s="1" t="s">
        <v>40</v>
      </c>
      <c r="D96" s="1">
        <v>44</v>
      </c>
      <c r="E96" s="1">
        <v>39</v>
      </c>
      <c r="F96" s="1">
        <v>3459</v>
      </c>
      <c r="G96" s="1">
        <v>22</v>
      </c>
      <c r="H96" s="1">
        <v>9</v>
      </c>
      <c r="I96" s="1">
        <f t="shared" si="28"/>
        <v>31</v>
      </c>
      <c r="J96" s="1">
        <f t="shared" si="29"/>
        <v>15</v>
      </c>
      <c r="K96" s="1">
        <v>7</v>
      </c>
      <c r="L96" s="1">
        <v>9</v>
      </c>
      <c r="M96" s="10">
        <f t="shared" si="32"/>
        <v>0.24444444444444444</v>
      </c>
      <c r="N96" s="10">
        <f t="shared" si="33"/>
        <v>0.1</v>
      </c>
      <c r="O96" s="10">
        <f t="shared" si="27"/>
        <v>0.34444444444444444</v>
      </c>
      <c r="P96" s="7">
        <f>F96/$F$296</f>
        <v>0.26042764643878935</v>
      </c>
      <c r="Q96" s="7">
        <f>I96/$I$296</f>
        <v>0.31313131313131315</v>
      </c>
      <c r="R96" s="7">
        <f t="shared" ref="R96:R98" si="40">K96/L96</f>
        <v>0.77777777777777779</v>
      </c>
    </row>
    <row r="97" spans="1:18" x14ac:dyDescent="0.3">
      <c r="A97" s="1" t="s">
        <v>76</v>
      </c>
      <c r="B97" s="1" t="s">
        <v>38</v>
      </c>
      <c r="C97" s="1" t="s">
        <v>85</v>
      </c>
      <c r="D97" s="1">
        <v>46</v>
      </c>
      <c r="E97" s="1">
        <v>35</v>
      </c>
      <c r="F97" s="1">
        <v>3028</v>
      </c>
      <c r="G97" s="1">
        <v>4</v>
      </c>
      <c r="H97" s="1">
        <v>6</v>
      </c>
      <c r="I97" s="1">
        <f t="shared" si="28"/>
        <v>10</v>
      </c>
      <c r="J97" s="1">
        <f t="shared" si="29"/>
        <v>4</v>
      </c>
      <c r="K97" s="1">
        <v>0</v>
      </c>
      <c r="L97" s="1">
        <v>0</v>
      </c>
      <c r="M97" s="10">
        <f t="shared" si="32"/>
        <v>4.4444444444444446E-2</v>
      </c>
      <c r="N97" s="10">
        <f t="shared" si="33"/>
        <v>6.6666666666666666E-2</v>
      </c>
      <c r="O97" s="10">
        <f t="shared" si="27"/>
        <v>0.1111111111111111</v>
      </c>
      <c r="P97" s="7">
        <f>F97/$F$296</f>
        <v>0.22797771419966872</v>
      </c>
      <c r="Q97" s="7">
        <f>I97/$I$296</f>
        <v>0.10101010101010101</v>
      </c>
      <c r="R97" s="7"/>
    </row>
    <row r="98" spans="1:18" x14ac:dyDescent="0.3">
      <c r="A98" s="1" t="s">
        <v>76</v>
      </c>
      <c r="B98" s="1" t="s">
        <v>38</v>
      </c>
      <c r="C98" s="1" t="s">
        <v>86</v>
      </c>
      <c r="D98" s="1">
        <v>49</v>
      </c>
      <c r="E98" s="1">
        <v>26</v>
      </c>
      <c r="F98" s="1">
        <v>2631</v>
      </c>
      <c r="G98" s="1">
        <v>17</v>
      </c>
      <c r="H98" s="1">
        <v>3</v>
      </c>
      <c r="I98" s="1">
        <f t="shared" si="28"/>
        <v>20</v>
      </c>
      <c r="J98" s="1">
        <f t="shared" si="29"/>
        <v>16</v>
      </c>
      <c r="K98" s="1">
        <v>1</v>
      </c>
      <c r="L98" s="1">
        <v>1</v>
      </c>
      <c r="M98" s="10">
        <f t="shared" si="32"/>
        <v>0.18888888888888888</v>
      </c>
      <c r="N98" s="10">
        <f t="shared" si="33"/>
        <v>3.3333333333333333E-2</v>
      </c>
      <c r="O98" s="10">
        <f t="shared" si="27"/>
        <v>0.22222222222222221</v>
      </c>
      <c r="P98" s="7">
        <f>F98/$F$296</f>
        <v>0.19808763740400542</v>
      </c>
      <c r="Q98" s="7">
        <f>I98/$I$296</f>
        <v>0.20202020202020202</v>
      </c>
      <c r="R98" s="7">
        <f t="shared" si="40"/>
        <v>1</v>
      </c>
    </row>
    <row r="99" spans="1:18" x14ac:dyDescent="0.3">
      <c r="A99" s="1" t="s">
        <v>76</v>
      </c>
      <c r="B99" s="1" t="s">
        <v>38</v>
      </c>
      <c r="C99" s="1" t="s">
        <v>87</v>
      </c>
      <c r="D99" s="1">
        <v>19</v>
      </c>
      <c r="E99" s="1">
        <v>5</v>
      </c>
      <c r="F99" s="1">
        <v>612</v>
      </c>
      <c r="G99" s="1">
        <v>5</v>
      </c>
      <c r="H99" s="1">
        <v>1</v>
      </c>
      <c r="I99" s="1">
        <f t="shared" si="28"/>
        <v>6</v>
      </c>
      <c r="J99" s="1">
        <f t="shared" si="29"/>
        <v>5</v>
      </c>
      <c r="K99" s="1">
        <v>0</v>
      </c>
      <c r="L99" s="1">
        <v>0</v>
      </c>
      <c r="M99" s="10">
        <f t="shared" si="32"/>
        <v>5.5555555555555552E-2</v>
      </c>
      <c r="N99" s="10">
        <f t="shared" si="33"/>
        <v>1.1111111111111112E-2</v>
      </c>
      <c r="O99" s="10">
        <f t="shared" si="27"/>
        <v>6.6666666666666666E-2</v>
      </c>
      <c r="P99" s="7">
        <f>F99/$F$296</f>
        <v>4.6077397982231594E-2</v>
      </c>
      <c r="Q99" s="7">
        <f>I99/$I$296</f>
        <v>6.0606060606060608E-2</v>
      </c>
    </row>
    <row r="100" spans="1:18" x14ac:dyDescent="0.3">
      <c r="A100" s="3" t="s">
        <v>76</v>
      </c>
      <c r="B100" s="3" t="s">
        <v>46</v>
      </c>
      <c r="C100" s="3" t="s">
        <v>49</v>
      </c>
      <c r="D100" s="3">
        <v>41</v>
      </c>
      <c r="E100" s="3">
        <v>35</v>
      </c>
      <c r="F100" s="3">
        <v>3196</v>
      </c>
      <c r="G100" s="3">
        <v>18</v>
      </c>
      <c r="H100" s="3">
        <v>12</v>
      </c>
      <c r="I100" s="3">
        <f t="shared" si="28"/>
        <v>30</v>
      </c>
      <c r="J100" s="3">
        <f t="shared" si="29"/>
        <v>17</v>
      </c>
      <c r="K100" s="3">
        <v>1</v>
      </c>
      <c r="L100" s="3">
        <v>2</v>
      </c>
      <c r="M100" s="4">
        <f t="shared" si="32"/>
        <v>0.2</v>
      </c>
      <c r="N100" s="4">
        <f t="shared" si="33"/>
        <v>0.13333333333333333</v>
      </c>
      <c r="O100" s="4">
        <f t="shared" si="27"/>
        <v>0.33333333333333331</v>
      </c>
      <c r="P100" s="5">
        <f>F100/$F$297</f>
        <v>0.26231122783978988</v>
      </c>
      <c r="Q100" s="5">
        <f>G100/$I$297</f>
        <v>0.21686746987951808</v>
      </c>
      <c r="R100" s="9">
        <f>K100/L100</f>
        <v>0.5</v>
      </c>
    </row>
    <row r="101" spans="1:18" x14ac:dyDescent="0.3">
      <c r="A101" s="3" t="s">
        <v>76</v>
      </c>
      <c r="B101" s="3" t="s">
        <v>46</v>
      </c>
      <c r="C101" s="3" t="s">
        <v>51</v>
      </c>
      <c r="D101" s="3">
        <v>47</v>
      </c>
      <c r="E101" s="3">
        <v>36</v>
      </c>
      <c r="F101" s="3">
        <v>3160</v>
      </c>
      <c r="G101" s="3">
        <v>7</v>
      </c>
      <c r="H101" s="3">
        <v>5</v>
      </c>
      <c r="I101" s="3">
        <f t="shared" si="28"/>
        <v>12</v>
      </c>
      <c r="J101" s="3">
        <f t="shared" si="29"/>
        <v>7</v>
      </c>
      <c r="K101" s="3">
        <v>0</v>
      </c>
      <c r="L101" s="3">
        <v>0</v>
      </c>
      <c r="M101" s="4">
        <f t="shared" si="32"/>
        <v>7.7777777777777779E-2</v>
      </c>
      <c r="N101" s="4">
        <f t="shared" si="33"/>
        <v>5.5555555555555552E-2</v>
      </c>
      <c r="O101" s="4">
        <f t="shared" si="27"/>
        <v>0.13333333333333333</v>
      </c>
      <c r="P101" s="5">
        <f>F101/$F$297</f>
        <v>0.25935653315824031</v>
      </c>
      <c r="Q101" s="5">
        <f>G101/$I$297</f>
        <v>8.4337349397590355E-2</v>
      </c>
      <c r="R101" s="9"/>
    </row>
    <row r="102" spans="1:18" x14ac:dyDescent="0.3">
      <c r="A102" s="3" t="s">
        <v>76</v>
      </c>
      <c r="B102" s="3" t="s">
        <v>46</v>
      </c>
      <c r="C102" s="3" t="s">
        <v>47</v>
      </c>
      <c r="D102" s="3">
        <v>34</v>
      </c>
      <c r="E102" s="3">
        <v>34</v>
      </c>
      <c r="F102" s="3">
        <v>3037</v>
      </c>
      <c r="G102" s="3">
        <v>24</v>
      </c>
      <c r="H102" s="3">
        <v>2</v>
      </c>
      <c r="I102" s="3">
        <f t="shared" si="28"/>
        <v>26</v>
      </c>
      <c r="J102" s="3">
        <f t="shared" si="29"/>
        <v>20</v>
      </c>
      <c r="K102" s="3">
        <v>4</v>
      </c>
      <c r="L102" s="3">
        <v>4</v>
      </c>
      <c r="M102" s="4">
        <f t="shared" si="32"/>
        <v>0.26666666666666666</v>
      </c>
      <c r="N102" s="4">
        <f t="shared" si="33"/>
        <v>2.2222222222222223E-2</v>
      </c>
      <c r="O102" s="4">
        <f t="shared" si="27"/>
        <v>0.28888888888888886</v>
      </c>
      <c r="P102" s="5">
        <f>F102/$F$297</f>
        <v>0.24926132632961262</v>
      </c>
      <c r="Q102" s="5">
        <f>G102/$I$297</f>
        <v>0.28915662650602408</v>
      </c>
      <c r="R102" s="9">
        <f t="shared" ref="R102:R104" si="41">K102/L102</f>
        <v>1</v>
      </c>
    </row>
    <row r="103" spans="1:18" x14ac:dyDescent="0.3">
      <c r="A103" s="3" t="s">
        <v>76</v>
      </c>
      <c r="B103" s="3" t="s">
        <v>46</v>
      </c>
      <c r="C103" s="3" t="s">
        <v>48</v>
      </c>
      <c r="D103" s="3">
        <v>38</v>
      </c>
      <c r="E103" s="3">
        <v>32</v>
      </c>
      <c r="F103" s="3">
        <v>2791</v>
      </c>
      <c r="G103" s="3">
        <v>9</v>
      </c>
      <c r="H103" s="3">
        <v>6</v>
      </c>
      <c r="I103" s="3">
        <f t="shared" si="28"/>
        <v>15</v>
      </c>
      <c r="J103" s="3">
        <f t="shared" si="29"/>
        <v>8</v>
      </c>
      <c r="K103" s="3">
        <v>1</v>
      </c>
      <c r="L103" s="3">
        <v>1</v>
      </c>
      <c r="M103" s="4">
        <f t="shared" si="32"/>
        <v>0.1</v>
      </c>
      <c r="N103" s="4">
        <f t="shared" si="33"/>
        <v>6.6666666666666666E-2</v>
      </c>
      <c r="O103" s="4">
        <f t="shared" si="27"/>
        <v>0.16666666666666666</v>
      </c>
      <c r="P103" s="5">
        <f>F103/$F$297</f>
        <v>0.22907091267235719</v>
      </c>
      <c r="Q103" s="5">
        <f>G103/$I$297</f>
        <v>0.10843373493975904</v>
      </c>
      <c r="R103" s="9">
        <f t="shared" si="41"/>
        <v>1</v>
      </c>
    </row>
    <row r="104" spans="1:18" x14ac:dyDescent="0.3">
      <c r="A104" s="1" t="s">
        <v>88</v>
      </c>
      <c r="B104" s="1" t="s">
        <v>13</v>
      </c>
      <c r="C104" s="1" t="s">
        <v>15</v>
      </c>
      <c r="D104" s="1">
        <v>51</v>
      </c>
      <c r="E104" s="1">
        <v>47</v>
      </c>
      <c r="F104" s="1">
        <v>4199</v>
      </c>
      <c r="G104" s="1">
        <v>31</v>
      </c>
      <c r="H104" s="1">
        <v>6</v>
      </c>
      <c r="I104" s="1">
        <f t="shared" si="28"/>
        <v>37</v>
      </c>
      <c r="J104" s="1">
        <f t="shared" si="29"/>
        <v>24</v>
      </c>
      <c r="K104" s="1">
        <v>7</v>
      </c>
      <c r="L104" s="1">
        <v>7</v>
      </c>
      <c r="M104" s="10">
        <f t="shared" si="32"/>
        <v>0.34444444444444444</v>
      </c>
      <c r="N104" s="10">
        <f t="shared" si="33"/>
        <v>6.6666666666666666E-2</v>
      </c>
      <c r="O104" s="10">
        <f t="shared" si="27"/>
        <v>0.41111111111111109</v>
      </c>
      <c r="P104" s="7">
        <f t="shared" ref="P104:P109" si="42">F104/$F$298</f>
        <v>0.29184042257436754</v>
      </c>
      <c r="Q104" s="7">
        <f t="shared" ref="Q104:Q109" si="43">I104/$I$298</f>
        <v>0.36274509803921567</v>
      </c>
      <c r="R104" s="8">
        <f t="shared" si="41"/>
        <v>1</v>
      </c>
    </row>
    <row r="105" spans="1:18" x14ac:dyDescent="0.3">
      <c r="A105" s="1" t="s">
        <v>88</v>
      </c>
      <c r="B105" s="1" t="s">
        <v>13</v>
      </c>
      <c r="C105" s="1" t="s">
        <v>16</v>
      </c>
      <c r="D105" s="1">
        <v>48</v>
      </c>
      <c r="E105" s="1">
        <v>41</v>
      </c>
      <c r="F105" s="1">
        <v>3746</v>
      </c>
      <c r="G105" s="1">
        <v>16</v>
      </c>
      <c r="H105" s="1">
        <v>8</v>
      </c>
      <c r="I105" s="1">
        <f t="shared" si="28"/>
        <v>24</v>
      </c>
      <c r="J105" s="1">
        <f t="shared" si="29"/>
        <v>16</v>
      </c>
      <c r="K105" s="1">
        <v>0</v>
      </c>
      <c r="L105" s="1">
        <v>0</v>
      </c>
      <c r="M105" s="10">
        <f t="shared" si="32"/>
        <v>0.17777777777777778</v>
      </c>
      <c r="N105" s="10">
        <f t="shared" si="33"/>
        <v>8.8888888888888892E-2</v>
      </c>
      <c r="O105" s="10">
        <f t="shared" si="27"/>
        <v>0.26666666666666666</v>
      </c>
      <c r="P105" s="7">
        <f t="shared" si="42"/>
        <v>0.26035585209897139</v>
      </c>
      <c r="Q105" s="7">
        <f t="shared" si="43"/>
        <v>0.23529411764705882</v>
      </c>
    </row>
    <row r="106" spans="1:18" x14ac:dyDescent="0.3">
      <c r="A106" s="1" t="s">
        <v>88</v>
      </c>
      <c r="B106" s="1" t="s">
        <v>13</v>
      </c>
      <c r="C106" s="1" t="s">
        <v>14</v>
      </c>
      <c r="D106" s="1">
        <v>48</v>
      </c>
      <c r="E106" s="1">
        <v>38</v>
      </c>
      <c r="F106" s="1">
        <v>3360</v>
      </c>
      <c r="G106" s="1">
        <v>9</v>
      </c>
      <c r="H106" s="1">
        <v>9</v>
      </c>
      <c r="I106" s="1">
        <f t="shared" si="28"/>
        <v>18</v>
      </c>
      <c r="J106" s="1">
        <f t="shared" si="29"/>
        <v>9</v>
      </c>
      <c r="K106" s="1">
        <v>0</v>
      </c>
      <c r="L106" s="1">
        <v>0</v>
      </c>
      <c r="M106" s="10">
        <f t="shared" si="32"/>
        <v>0.1</v>
      </c>
      <c r="N106" s="10">
        <f t="shared" si="33"/>
        <v>0.1</v>
      </c>
      <c r="O106" s="10">
        <f t="shared" si="27"/>
        <v>0.2</v>
      </c>
      <c r="P106" s="7">
        <f t="shared" si="42"/>
        <v>0.2335279399499583</v>
      </c>
      <c r="Q106" s="7">
        <f t="shared" si="43"/>
        <v>0.17647058823529413</v>
      </c>
    </row>
    <row r="107" spans="1:18" x14ac:dyDescent="0.3">
      <c r="A107" s="1" t="s">
        <v>88</v>
      </c>
      <c r="B107" s="1" t="s">
        <v>13</v>
      </c>
      <c r="C107" s="1" t="s">
        <v>89</v>
      </c>
      <c r="D107" s="1">
        <v>30</v>
      </c>
      <c r="E107" s="1">
        <v>19</v>
      </c>
      <c r="F107" s="1">
        <v>1760</v>
      </c>
      <c r="G107" s="1">
        <v>13</v>
      </c>
      <c r="H107" s="1">
        <v>1</v>
      </c>
      <c r="I107" s="1">
        <f t="shared" ref="I107:I126" si="44">SUM(G107,H107)</f>
        <v>14</v>
      </c>
      <c r="J107" s="1">
        <f t="shared" si="29"/>
        <v>13</v>
      </c>
      <c r="K107" s="1">
        <v>0</v>
      </c>
      <c r="L107" s="1">
        <v>0</v>
      </c>
      <c r="M107" s="10">
        <f t="shared" si="32"/>
        <v>0.14444444444444443</v>
      </c>
      <c r="N107" s="10">
        <f t="shared" si="33"/>
        <v>1.1111111111111112E-2</v>
      </c>
      <c r="O107" s="10">
        <f t="shared" si="27"/>
        <v>0.15555555555555556</v>
      </c>
      <c r="P107" s="7">
        <f t="shared" si="42"/>
        <v>0.12232415902140673</v>
      </c>
      <c r="Q107" s="7">
        <f t="shared" si="43"/>
        <v>0.13725490196078433</v>
      </c>
    </row>
    <row r="108" spans="1:18" x14ac:dyDescent="0.3">
      <c r="A108" s="1" t="s">
        <v>88</v>
      </c>
      <c r="B108" s="1" t="s">
        <v>13</v>
      </c>
      <c r="C108" s="1" t="s">
        <v>90</v>
      </c>
      <c r="D108" s="1">
        <v>17</v>
      </c>
      <c r="E108" s="1">
        <v>7</v>
      </c>
      <c r="F108" s="1">
        <v>781</v>
      </c>
      <c r="G108" s="1">
        <v>4</v>
      </c>
      <c r="H108" s="1">
        <v>2</v>
      </c>
      <c r="I108" s="1">
        <f t="shared" si="44"/>
        <v>6</v>
      </c>
      <c r="J108" s="1">
        <f t="shared" si="29"/>
        <v>4</v>
      </c>
      <c r="K108" s="1">
        <v>0</v>
      </c>
      <c r="L108" s="1">
        <v>0</v>
      </c>
      <c r="M108" s="10">
        <f t="shared" si="32"/>
        <v>4.4444444444444446E-2</v>
      </c>
      <c r="N108" s="10">
        <f t="shared" si="33"/>
        <v>2.2222222222222223E-2</v>
      </c>
      <c r="O108" s="10">
        <f t="shared" si="27"/>
        <v>6.6666666666666666E-2</v>
      </c>
      <c r="P108" s="7">
        <f t="shared" si="42"/>
        <v>5.4281345565749234E-2</v>
      </c>
      <c r="Q108" s="7">
        <f t="shared" si="43"/>
        <v>5.8823529411764705E-2</v>
      </c>
    </row>
    <row r="109" spans="1:18" x14ac:dyDescent="0.3">
      <c r="A109" s="1" t="s">
        <v>88</v>
      </c>
      <c r="B109" s="1" t="s">
        <v>13</v>
      </c>
      <c r="C109" s="1" t="s">
        <v>52</v>
      </c>
      <c r="D109" s="1">
        <v>17</v>
      </c>
      <c r="E109" s="1">
        <v>6</v>
      </c>
      <c r="F109" s="1">
        <v>542</v>
      </c>
      <c r="G109" s="1">
        <v>1</v>
      </c>
      <c r="H109" s="1">
        <v>2</v>
      </c>
      <c r="I109" s="1">
        <f t="shared" si="44"/>
        <v>3</v>
      </c>
      <c r="J109" s="1">
        <f t="shared" si="29"/>
        <v>1</v>
      </c>
      <c r="K109" s="1">
        <v>0</v>
      </c>
      <c r="L109" s="1">
        <v>0</v>
      </c>
      <c r="M109" s="10">
        <f t="shared" si="32"/>
        <v>1.1111111111111112E-2</v>
      </c>
      <c r="N109" s="10">
        <f t="shared" si="33"/>
        <v>2.2222222222222223E-2</v>
      </c>
      <c r="O109" s="10">
        <f t="shared" si="27"/>
        <v>3.3333333333333333E-2</v>
      </c>
      <c r="P109" s="7">
        <f t="shared" si="42"/>
        <v>3.7670280789546845E-2</v>
      </c>
      <c r="Q109" s="7">
        <f t="shared" si="43"/>
        <v>2.9411764705882353E-2</v>
      </c>
    </row>
    <row r="110" spans="1:18" x14ac:dyDescent="0.3">
      <c r="A110" s="3" t="s">
        <v>88</v>
      </c>
      <c r="B110" s="3" t="s">
        <v>20</v>
      </c>
      <c r="C110" s="3" t="s">
        <v>23</v>
      </c>
      <c r="D110" s="3">
        <v>39</v>
      </c>
      <c r="E110" s="3">
        <v>33</v>
      </c>
      <c r="F110" s="3">
        <v>3043</v>
      </c>
      <c r="G110" s="3">
        <v>15</v>
      </c>
      <c r="H110" s="3">
        <v>4</v>
      </c>
      <c r="I110" s="3">
        <f t="shared" si="44"/>
        <v>19</v>
      </c>
      <c r="J110" s="3">
        <f t="shared" si="29"/>
        <v>13</v>
      </c>
      <c r="K110" s="3">
        <v>2</v>
      </c>
      <c r="L110" s="3">
        <v>2</v>
      </c>
      <c r="M110" s="4">
        <f t="shared" si="32"/>
        <v>0.16666666666666666</v>
      </c>
      <c r="N110" s="4">
        <f t="shared" si="33"/>
        <v>4.4444444444444446E-2</v>
      </c>
      <c r="O110" s="4">
        <f t="shared" si="27"/>
        <v>0.21111111111111111</v>
      </c>
      <c r="P110" s="5">
        <f>F110/$F$299</f>
        <v>0.24661641948294027</v>
      </c>
      <c r="Q110" s="5">
        <f>I110/$I$299</f>
        <v>0.24050632911392406</v>
      </c>
      <c r="R110" s="9">
        <f>K110/L110</f>
        <v>1</v>
      </c>
    </row>
    <row r="111" spans="1:18" x14ac:dyDescent="0.3">
      <c r="A111" s="3" t="s">
        <v>88</v>
      </c>
      <c r="B111" s="3" t="s">
        <v>20</v>
      </c>
      <c r="C111" s="3" t="s">
        <v>80</v>
      </c>
      <c r="D111" s="3">
        <v>47</v>
      </c>
      <c r="E111" s="3">
        <v>30</v>
      </c>
      <c r="F111" s="3">
        <v>2934</v>
      </c>
      <c r="G111" s="3">
        <v>16</v>
      </c>
      <c r="H111" s="3">
        <v>5</v>
      </c>
      <c r="I111" s="3">
        <f t="shared" si="44"/>
        <v>21</v>
      </c>
      <c r="J111" s="3">
        <f t="shared" si="29"/>
        <v>14</v>
      </c>
      <c r="K111" s="3">
        <v>2</v>
      </c>
      <c r="L111" s="3">
        <v>2</v>
      </c>
      <c r="M111" s="4">
        <f t="shared" si="32"/>
        <v>0.17777777777777778</v>
      </c>
      <c r="N111" s="4">
        <f t="shared" si="33"/>
        <v>5.5555555555555552E-2</v>
      </c>
      <c r="O111" s="4">
        <f t="shared" si="27"/>
        <v>0.23333333333333334</v>
      </c>
      <c r="P111" s="5">
        <f t="shared" ref="P111:P115" si="45">F111/$F$299</f>
        <v>0.23778264040846098</v>
      </c>
      <c r="Q111" s="5">
        <f t="shared" ref="Q111:Q115" si="46">I111/$I$299</f>
        <v>0.26582278481012656</v>
      </c>
      <c r="R111" s="9">
        <f t="shared" ref="R111:R112" si="47">K111/L111</f>
        <v>1</v>
      </c>
    </row>
    <row r="112" spans="1:18" x14ac:dyDescent="0.3">
      <c r="A112" s="3" t="s">
        <v>88</v>
      </c>
      <c r="B112" s="3" t="s">
        <v>20</v>
      </c>
      <c r="C112" s="3" t="s">
        <v>21</v>
      </c>
      <c r="D112" s="3">
        <v>43</v>
      </c>
      <c r="E112" s="3">
        <v>28</v>
      </c>
      <c r="F112" s="3">
        <v>2444</v>
      </c>
      <c r="G112" s="3">
        <v>17</v>
      </c>
      <c r="H112" s="3">
        <v>3</v>
      </c>
      <c r="I112" s="3">
        <f t="shared" si="44"/>
        <v>20</v>
      </c>
      <c r="J112" s="3">
        <f t="shared" si="29"/>
        <v>13</v>
      </c>
      <c r="K112" s="3">
        <v>4</v>
      </c>
      <c r="L112" s="3">
        <v>4</v>
      </c>
      <c r="M112" s="4">
        <f t="shared" si="32"/>
        <v>0.18888888888888888</v>
      </c>
      <c r="N112" s="4">
        <f t="shared" si="33"/>
        <v>3.3333333333333333E-2</v>
      </c>
      <c r="O112" s="4">
        <f t="shared" si="27"/>
        <v>0.22222222222222221</v>
      </c>
      <c r="P112" s="5">
        <f t="shared" si="45"/>
        <v>0.19807115649566415</v>
      </c>
      <c r="Q112" s="5">
        <f t="shared" si="46"/>
        <v>0.25316455696202533</v>
      </c>
      <c r="R112" s="9">
        <f t="shared" si="47"/>
        <v>1</v>
      </c>
    </row>
    <row r="113" spans="1:18" x14ac:dyDescent="0.3">
      <c r="A113" s="3" t="s">
        <v>88</v>
      </c>
      <c r="B113" s="3" t="s">
        <v>20</v>
      </c>
      <c r="C113" s="3" t="s">
        <v>57</v>
      </c>
      <c r="D113" s="3">
        <v>37</v>
      </c>
      <c r="E113" s="3">
        <v>21</v>
      </c>
      <c r="F113" s="3">
        <v>1892</v>
      </c>
      <c r="G113" s="3">
        <v>1</v>
      </c>
      <c r="H113" s="3">
        <v>7</v>
      </c>
      <c r="I113" s="3">
        <f t="shared" si="44"/>
        <v>8</v>
      </c>
      <c r="J113" s="3">
        <f t="shared" si="29"/>
        <v>1</v>
      </c>
      <c r="K113" s="3">
        <v>0</v>
      </c>
      <c r="L113" s="3">
        <v>0</v>
      </c>
      <c r="M113" s="4">
        <f t="shared" si="32"/>
        <v>1.1111111111111112E-2</v>
      </c>
      <c r="N113" s="4">
        <f t="shared" si="33"/>
        <v>7.7777777777777779E-2</v>
      </c>
      <c r="O113" s="4">
        <f t="shared" si="27"/>
        <v>8.8888888888888892E-2</v>
      </c>
      <c r="P113" s="5">
        <f t="shared" si="45"/>
        <v>0.15333495421022772</v>
      </c>
      <c r="Q113" s="5">
        <f t="shared" si="46"/>
        <v>0.10126582278481013</v>
      </c>
      <c r="R113" s="3"/>
    </row>
    <row r="114" spans="1:18" x14ac:dyDescent="0.3">
      <c r="A114" s="3" t="s">
        <v>88</v>
      </c>
      <c r="B114" s="3" t="s">
        <v>20</v>
      </c>
      <c r="C114" s="3" t="s">
        <v>25</v>
      </c>
      <c r="D114" s="3">
        <v>29</v>
      </c>
      <c r="E114" s="3">
        <v>14</v>
      </c>
      <c r="F114" s="3">
        <v>1224</v>
      </c>
      <c r="G114" s="3">
        <v>6</v>
      </c>
      <c r="H114" s="3">
        <v>1</v>
      </c>
      <c r="I114" s="3">
        <f t="shared" si="44"/>
        <v>7</v>
      </c>
      <c r="J114" s="3">
        <f t="shared" si="29"/>
        <v>6</v>
      </c>
      <c r="K114" s="3">
        <v>0</v>
      </c>
      <c r="L114" s="3">
        <v>0</v>
      </c>
      <c r="M114" s="4">
        <f t="shared" si="32"/>
        <v>6.6666666666666666E-2</v>
      </c>
      <c r="N114" s="4">
        <f t="shared" si="33"/>
        <v>1.1111111111111112E-2</v>
      </c>
      <c r="O114" s="4">
        <f t="shared" si="27"/>
        <v>7.7777777777777779E-2</v>
      </c>
      <c r="P114" s="5">
        <f t="shared" si="45"/>
        <v>9.919766593727207E-2</v>
      </c>
      <c r="Q114" s="5">
        <f t="shared" si="46"/>
        <v>8.8607594936708861E-2</v>
      </c>
      <c r="R114" s="3"/>
    </row>
    <row r="115" spans="1:18" x14ac:dyDescent="0.3">
      <c r="A115" s="3" t="s">
        <v>88</v>
      </c>
      <c r="B115" s="3" t="s">
        <v>20</v>
      </c>
      <c r="C115" s="3" t="s">
        <v>91</v>
      </c>
      <c r="D115" s="3">
        <v>22</v>
      </c>
      <c r="E115" s="3">
        <v>9</v>
      </c>
      <c r="F115" s="3">
        <v>802</v>
      </c>
      <c r="G115" s="3">
        <v>2</v>
      </c>
      <c r="H115" s="3">
        <v>2</v>
      </c>
      <c r="I115" s="3">
        <f t="shared" si="44"/>
        <v>4</v>
      </c>
      <c r="J115" s="3">
        <f t="shared" si="29"/>
        <v>2</v>
      </c>
      <c r="K115" s="3">
        <v>0</v>
      </c>
      <c r="L115" s="3">
        <v>0</v>
      </c>
      <c r="M115" s="4">
        <f t="shared" si="32"/>
        <v>2.2222222222222223E-2</v>
      </c>
      <c r="N115" s="4">
        <f t="shared" si="33"/>
        <v>2.2222222222222223E-2</v>
      </c>
      <c r="O115" s="4">
        <f t="shared" si="27"/>
        <v>4.4444444444444446E-2</v>
      </c>
      <c r="P115" s="5">
        <f t="shared" si="45"/>
        <v>6.4997163465434799E-2</v>
      </c>
      <c r="Q115" s="5">
        <f t="shared" si="46"/>
        <v>5.0632911392405063E-2</v>
      </c>
      <c r="R115" s="3"/>
    </row>
    <row r="116" spans="1:18" x14ac:dyDescent="0.3">
      <c r="A116" s="1" t="s">
        <v>88</v>
      </c>
      <c r="B116" s="1" t="s">
        <v>26</v>
      </c>
      <c r="C116" s="1" t="s">
        <v>92</v>
      </c>
      <c r="D116" s="1">
        <v>52</v>
      </c>
      <c r="E116" s="1">
        <v>44</v>
      </c>
      <c r="F116" s="1">
        <v>3818</v>
      </c>
      <c r="G116" s="1">
        <v>12</v>
      </c>
      <c r="H116" s="1">
        <v>12</v>
      </c>
      <c r="I116" s="1">
        <f t="shared" si="44"/>
        <v>24</v>
      </c>
      <c r="J116" s="1">
        <f t="shared" si="29"/>
        <v>9</v>
      </c>
      <c r="K116" s="1">
        <v>3</v>
      </c>
      <c r="L116" s="1">
        <v>4</v>
      </c>
      <c r="M116" s="10">
        <f t="shared" si="32"/>
        <v>0.13333333333333333</v>
      </c>
      <c r="N116" s="10">
        <f t="shared" si="33"/>
        <v>0.13333333333333333</v>
      </c>
      <c r="O116" s="10">
        <f t="shared" si="27"/>
        <v>0.26666666666666666</v>
      </c>
      <c r="P116" s="7">
        <f t="shared" ref="P116:P122" si="48">F116/$F$300</f>
        <v>0.24964038184909115</v>
      </c>
      <c r="Q116" s="7">
        <f t="shared" ref="Q116:Q122" si="49">I116/$I$300</f>
        <v>0.24742268041237114</v>
      </c>
      <c r="R116" s="6">
        <f>K116/L116</f>
        <v>0.75</v>
      </c>
    </row>
    <row r="117" spans="1:18" x14ac:dyDescent="0.3">
      <c r="A117" s="1" t="s">
        <v>88</v>
      </c>
      <c r="B117" s="1" t="s">
        <v>26</v>
      </c>
      <c r="C117" s="1" t="s">
        <v>93</v>
      </c>
      <c r="D117" s="1">
        <v>45</v>
      </c>
      <c r="E117" s="1">
        <v>29</v>
      </c>
      <c r="F117" s="1">
        <v>2521</v>
      </c>
      <c r="G117" s="1">
        <v>9</v>
      </c>
      <c r="H117" s="1">
        <v>7</v>
      </c>
      <c r="I117" s="1">
        <f t="shared" si="44"/>
        <v>16</v>
      </c>
      <c r="J117" s="1">
        <f t="shared" si="29"/>
        <v>9</v>
      </c>
      <c r="K117" s="1">
        <v>0</v>
      </c>
      <c r="L117" s="1">
        <v>0</v>
      </c>
      <c r="M117" s="10">
        <f t="shared" si="32"/>
        <v>0.1</v>
      </c>
      <c r="N117" s="10">
        <f t="shared" si="33"/>
        <v>7.7777777777777779E-2</v>
      </c>
      <c r="O117" s="10">
        <f t="shared" si="27"/>
        <v>0.17777777777777778</v>
      </c>
      <c r="P117" s="7">
        <f t="shared" si="48"/>
        <v>0.16483588335294888</v>
      </c>
      <c r="Q117" s="7">
        <f t="shared" si="49"/>
        <v>0.16494845360824742</v>
      </c>
    </row>
    <row r="118" spans="1:18" x14ac:dyDescent="0.3">
      <c r="A118" s="1" t="s">
        <v>88</v>
      </c>
      <c r="B118" s="1" t="s">
        <v>26</v>
      </c>
      <c r="C118" s="1" t="s">
        <v>83</v>
      </c>
      <c r="D118" s="1">
        <v>43</v>
      </c>
      <c r="E118" s="1">
        <v>25</v>
      </c>
      <c r="F118" s="1">
        <v>2458</v>
      </c>
      <c r="G118" s="1">
        <v>6</v>
      </c>
      <c r="H118" s="1">
        <v>4</v>
      </c>
      <c r="I118" s="1">
        <f t="shared" si="44"/>
        <v>10</v>
      </c>
      <c r="J118" s="1">
        <f t="shared" si="29"/>
        <v>6</v>
      </c>
      <c r="K118" s="1">
        <v>0</v>
      </c>
      <c r="L118" s="1">
        <v>0</v>
      </c>
      <c r="M118" s="10">
        <f t="shared" si="32"/>
        <v>6.6666666666666666E-2</v>
      </c>
      <c r="N118" s="10">
        <f t="shared" si="33"/>
        <v>4.4444444444444446E-2</v>
      </c>
      <c r="O118" s="10">
        <f t="shared" si="27"/>
        <v>0.1111111111111111</v>
      </c>
      <c r="P118" s="7">
        <f t="shared" si="48"/>
        <v>0.16071662089708383</v>
      </c>
      <c r="Q118" s="7">
        <f t="shared" si="49"/>
        <v>0.10309278350515463</v>
      </c>
    </row>
    <row r="119" spans="1:18" x14ac:dyDescent="0.3">
      <c r="A119" s="1" t="s">
        <v>88</v>
      </c>
      <c r="B119" s="1" t="s">
        <v>26</v>
      </c>
      <c r="C119" s="1" t="s">
        <v>94</v>
      </c>
      <c r="D119" s="1">
        <v>39</v>
      </c>
      <c r="E119" s="1">
        <v>23</v>
      </c>
      <c r="F119" s="1">
        <v>1896</v>
      </c>
      <c r="G119" s="1">
        <v>6</v>
      </c>
      <c r="H119" s="1">
        <v>4</v>
      </c>
      <c r="I119" s="1">
        <f t="shared" si="44"/>
        <v>10</v>
      </c>
      <c r="J119" s="1">
        <f t="shared" si="29"/>
        <v>6</v>
      </c>
      <c r="K119" s="1">
        <v>0</v>
      </c>
      <c r="L119" s="1">
        <v>0</v>
      </c>
      <c r="M119" s="10">
        <f t="shared" si="32"/>
        <v>6.6666666666666666E-2</v>
      </c>
      <c r="N119" s="10">
        <f t="shared" si="33"/>
        <v>4.4444444444444446E-2</v>
      </c>
      <c r="O119" s="10">
        <f t="shared" si="27"/>
        <v>0.1111111111111111</v>
      </c>
      <c r="P119" s="7">
        <f t="shared" si="48"/>
        <v>0.12397018438603374</v>
      </c>
      <c r="Q119" s="7">
        <f t="shared" si="49"/>
        <v>0.10309278350515463</v>
      </c>
    </row>
    <row r="120" spans="1:18" x14ac:dyDescent="0.3">
      <c r="A120" s="1" t="s">
        <v>88</v>
      </c>
      <c r="B120" s="1" t="s">
        <v>26</v>
      </c>
      <c r="C120" s="1" t="s">
        <v>59</v>
      </c>
      <c r="D120" s="1">
        <v>37</v>
      </c>
      <c r="E120" s="1">
        <v>19</v>
      </c>
      <c r="F120" s="1">
        <v>1853</v>
      </c>
      <c r="G120" s="1">
        <v>5</v>
      </c>
      <c r="H120" s="1">
        <v>5</v>
      </c>
      <c r="I120" s="1">
        <f t="shared" si="44"/>
        <v>10</v>
      </c>
      <c r="J120" s="1">
        <f t="shared" si="29"/>
        <v>5</v>
      </c>
      <c r="K120" s="1">
        <v>0</v>
      </c>
      <c r="L120" s="1">
        <v>0</v>
      </c>
      <c r="M120" s="10">
        <f t="shared" si="32"/>
        <v>5.5555555555555552E-2</v>
      </c>
      <c r="N120" s="10">
        <f t="shared" si="33"/>
        <v>5.5555555555555552E-2</v>
      </c>
      <c r="O120" s="10">
        <f t="shared" si="27"/>
        <v>0.1111111111111111</v>
      </c>
      <c r="P120" s="7">
        <f t="shared" si="48"/>
        <v>0.12115862429710998</v>
      </c>
      <c r="Q120" s="7">
        <f t="shared" si="49"/>
        <v>0.10309278350515463</v>
      </c>
    </row>
    <row r="121" spans="1:18" x14ac:dyDescent="0.3">
      <c r="A121" s="1" t="s">
        <v>88</v>
      </c>
      <c r="B121" s="1" t="s">
        <v>26</v>
      </c>
      <c r="C121" s="1" t="s">
        <v>82</v>
      </c>
      <c r="D121" s="1">
        <v>32</v>
      </c>
      <c r="E121" s="1">
        <v>18</v>
      </c>
      <c r="F121" s="1">
        <v>1539</v>
      </c>
      <c r="G121" s="1">
        <v>12</v>
      </c>
      <c r="H121" s="1">
        <v>4</v>
      </c>
      <c r="I121" s="1">
        <f t="shared" si="44"/>
        <v>16</v>
      </c>
      <c r="J121" s="1">
        <f t="shared" si="29"/>
        <v>12</v>
      </c>
      <c r="K121" s="1">
        <v>0</v>
      </c>
      <c r="L121" s="1">
        <v>0</v>
      </c>
      <c r="M121" s="10">
        <f t="shared" si="32"/>
        <v>0.13333333333333333</v>
      </c>
      <c r="N121" s="10">
        <f t="shared" si="33"/>
        <v>4.4444444444444446E-2</v>
      </c>
      <c r="O121" s="10">
        <f t="shared" si="27"/>
        <v>0.17777777777777778</v>
      </c>
      <c r="P121" s="7">
        <f t="shared" si="48"/>
        <v>0.10062769713613182</v>
      </c>
      <c r="Q121" s="7">
        <f t="shared" si="49"/>
        <v>0.16494845360824742</v>
      </c>
    </row>
    <row r="122" spans="1:18" x14ac:dyDescent="0.3">
      <c r="A122" s="1" t="s">
        <v>88</v>
      </c>
      <c r="B122" s="1" t="s">
        <v>26</v>
      </c>
      <c r="C122" s="1" t="s">
        <v>22</v>
      </c>
      <c r="D122" s="1">
        <v>31</v>
      </c>
      <c r="E122" s="1">
        <v>12</v>
      </c>
      <c r="F122" s="1">
        <v>1209</v>
      </c>
      <c r="G122" s="1">
        <v>11</v>
      </c>
      <c r="H122" s="1">
        <v>0</v>
      </c>
      <c r="I122" s="1">
        <f t="shared" si="44"/>
        <v>11</v>
      </c>
      <c r="J122" s="1">
        <f t="shared" si="29"/>
        <v>10</v>
      </c>
      <c r="K122" s="1">
        <v>1</v>
      </c>
      <c r="L122" s="1">
        <v>1</v>
      </c>
      <c r="M122" s="10">
        <f t="shared" si="32"/>
        <v>0.12222222222222222</v>
      </c>
      <c r="N122" s="10">
        <f t="shared" si="33"/>
        <v>0</v>
      </c>
      <c r="O122" s="10">
        <f t="shared" si="27"/>
        <v>0.12222222222222222</v>
      </c>
      <c r="P122" s="7">
        <f t="shared" si="48"/>
        <v>7.9050608081600623E-2</v>
      </c>
      <c r="Q122" s="7">
        <f t="shared" si="49"/>
        <v>0.1134020618556701</v>
      </c>
      <c r="R122" s="6">
        <f>K122/L122</f>
        <v>1</v>
      </c>
    </row>
    <row r="123" spans="1:18" x14ac:dyDescent="0.3">
      <c r="A123" s="3" t="s">
        <v>88</v>
      </c>
      <c r="B123" s="3" t="s">
        <v>32</v>
      </c>
      <c r="C123" s="3" t="s">
        <v>33</v>
      </c>
      <c r="D123" s="3">
        <v>49</v>
      </c>
      <c r="E123" s="3">
        <v>41</v>
      </c>
      <c r="F123" s="3">
        <v>3702</v>
      </c>
      <c r="G123" s="3">
        <v>14</v>
      </c>
      <c r="H123" s="3">
        <v>10</v>
      </c>
      <c r="I123" s="3">
        <f t="shared" si="44"/>
        <v>24</v>
      </c>
      <c r="J123" s="3">
        <f t="shared" si="29"/>
        <v>14</v>
      </c>
      <c r="K123" s="3">
        <v>0</v>
      </c>
      <c r="L123" s="3">
        <v>1</v>
      </c>
      <c r="M123" s="4">
        <f t="shared" si="32"/>
        <v>0.15555555555555556</v>
      </c>
      <c r="N123" s="4">
        <f t="shared" si="33"/>
        <v>0.1111111111111111</v>
      </c>
      <c r="O123" s="4">
        <f t="shared" si="27"/>
        <v>0.26666666666666666</v>
      </c>
      <c r="P123" s="5">
        <f t="shared" ref="P123:P129" si="50">F123/$F$301</f>
        <v>0.18975857296632323</v>
      </c>
      <c r="Q123" s="5">
        <f>I123/$I$301</f>
        <v>0.1875</v>
      </c>
      <c r="R123" s="5">
        <f>K123/L123</f>
        <v>0</v>
      </c>
    </row>
    <row r="124" spans="1:18" x14ac:dyDescent="0.3">
      <c r="A124" s="3" t="s">
        <v>88</v>
      </c>
      <c r="B124" s="3" t="s">
        <v>32</v>
      </c>
      <c r="C124" s="3" t="s">
        <v>60</v>
      </c>
      <c r="D124" s="3">
        <v>48</v>
      </c>
      <c r="E124" s="3">
        <v>39</v>
      </c>
      <c r="F124" s="3">
        <v>3440</v>
      </c>
      <c r="G124" s="3">
        <v>14</v>
      </c>
      <c r="H124" s="3">
        <v>9</v>
      </c>
      <c r="I124" s="3">
        <f t="shared" si="44"/>
        <v>23</v>
      </c>
      <c r="J124" s="3">
        <f t="shared" si="29"/>
        <v>13</v>
      </c>
      <c r="K124" s="3">
        <v>1</v>
      </c>
      <c r="L124" s="3">
        <v>1</v>
      </c>
      <c r="M124" s="4">
        <f t="shared" si="32"/>
        <v>0.15555555555555556</v>
      </c>
      <c r="N124" s="4">
        <f t="shared" si="33"/>
        <v>0.1</v>
      </c>
      <c r="O124" s="4">
        <f t="shared" si="27"/>
        <v>0.25555555555555554</v>
      </c>
      <c r="P124" s="5">
        <f t="shared" si="50"/>
        <v>0.17632887385309345</v>
      </c>
      <c r="Q124" s="5">
        <f t="shared" ref="Q124:Q129" si="51">I124/$I$301</f>
        <v>0.1796875</v>
      </c>
      <c r="R124" s="5">
        <f t="shared" ref="R124:R132" si="52">K124/L124</f>
        <v>1</v>
      </c>
    </row>
    <row r="125" spans="1:18" x14ac:dyDescent="0.3">
      <c r="A125" s="3" t="s">
        <v>88</v>
      </c>
      <c r="B125" s="3" t="s">
        <v>32</v>
      </c>
      <c r="C125" s="3" t="s">
        <v>84</v>
      </c>
      <c r="D125" s="3">
        <v>50</v>
      </c>
      <c r="E125" s="3">
        <v>36</v>
      </c>
      <c r="F125" s="3">
        <v>3378</v>
      </c>
      <c r="G125" s="3">
        <v>16</v>
      </c>
      <c r="H125" s="3">
        <v>10</v>
      </c>
      <c r="I125" s="3">
        <f t="shared" si="44"/>
        <v>26</v>
      </c>
      <c r="J125" s="3">
        <f t="shared" si="29"/>
        <v>16</v>
      </c>
      <c r="K125" s="3">
        <v>0</v>
      </c>
      <c r="L125" s="3">
        <v>0</v>
      </c>
      <c r="M125" s="4">
        <f t="shared" si="32"/>
        <v>0.17777777777777778</v>
      </c>
      <c r="N125" s="4">
        <f t="shared" si="33"/>
        <v>0.1111111111111111</v>
      </c>
      <c r="O125" s="4">
        <f t="shared" si="27"/>
        <v>0.28888888888888886</v>
      </c>
      <c r="P125" s="5">
        <f t="shared" si="50"/>
        <v>0.17315085345225281</v>
      </c>
      <c r="Q125" s="5">
        <f t="shared" si="51"/>
        <v>0.203125</v>
      </c>
      <c r="R125" s="5"/>
    </row>
    <row r="126" spans="1:18" x14ac:dyDescent="0.3">
      <c r="A126" s="3" t="s">
        <v>88</v>
      </c>
      <c r="B126" s="3" t="s">
        <v>32</v>
      </c>
      <c r="C126" s="3" t="s">
        <v>37</v>
      </c>
      <c r="D126" s="3">
        <v>45</v>
      </c>
      <c r="E126" s="3">
        <v>39</v>
      </c>
      <c r="F126" s="3">
        <v>3311</v>
      </c>
      <c r="G126" s="3">
        <v>5</v>
      </c>
      <c r="H126" s="3">
        <v>9</v>
      </c>
      <c r="I126" s="3">
        <f t="shared" si="44"/>
        <v>14</v>
      </c>
      <c r="J126" s="3">
        <f t="shared" si="29"/>
        <v>5</v>
      </c>
      <c r="K126" s="3">
        <v>0</v>
      </c>
      <c r="L126" s="3">
        <v>0</v>
      </c>
      <c r="M126" s="4">
        <f t="shared" si="32"/>
        <v>5.5555555555555552E-2</v>
      </c>
      <c r="N126" s="4">
        <f t="shared" si="33"/>
        <v>0.1</v>
      </c>
      <c r="O126" s="4">
        <f t="shared" si="27"/>
        <v>0.15555555555555556</v>
      </c>
      <c r="P126" s="5">
        <f t="shared" si="50"/>
        <v>0.16971654108360243</v>
      </c>
      <c r="Q126" s="5">
        <f t="shared" si="51"/>
        <v>0.109375</v>
      </c>
      <c r="R126" s="5"/>
    </row>
    <row r="127" spans="1:18" x14ac:dyDescent="0.3">
      <c r="A127" s="3" t="s">
        <v>88</v>
      </c>
      <c r="B127" s="3" t="s">
        <v>32</v>
      </c>
      <c r="C127" s="3" t="s">
        <v>36</v>
      </c>
      <c r="D127" s="3">
        <v>42</v>
      </c>
      <c r="E127" s="3">
        <v>30</v>
      </c>
      <c r="F127" s="3">
        <v>2840</v>
      </c>
      <c r="G127" s="3">
        <v>14</v>
      </c>
      <c r="H127" s="3">
        <v>4</v>
      </c>
      <c r="I127" s="3">
        <f t="shared" ref="I127:I128" si="53">SUM(G127,H127)</f>
        <v>18</v>
      </c>
      <c r="J127" s="3">
        <f t="shared" si="29"/>
        <v>14</v>
      </c>
      <c r="K127" s="3">
        <v>0</v>
      </c>
      <c r="L127" s="3">
        <v>0</v>
      </c>
      <c r="M127" s="4">
        <f t="shared" si="32"/>
        <v>0.15555555555555556</v>
      </c>
      <c r="N127" s="4">
        <f t="shared" si="33"/>
        <v>4.4444444444444446E-2</v>
      </c>
      <c r="O127" s="4">
        <f t="shared" si="27"/>
        <v>0.2</v>
      </c>
      <c r="P127" s="5">
        <f t="shared" si="50"/>
        <v>0.145573837715926</v>
      </c>
      <c r="Q127" s="5">
        <f t="shared" si="51"/>
        <v>0.140625</v>
      </c>
      <c r="R127" s="5"/>
    </row>
    <row r="128" spans="1:18" x14ac:dyDescent="0.3">
      <c r="A128" s="3" t="s">
        <v>88</v>
      </c>
      <c r="B128" s="3" t="s">
        <v>32</v>
      </c>
      <c r="C128" s="3" t="s">
        <v>95</v>
      </c>
      <c r="D128" s="3">
        <v>36</v>
      </c>
      <c r="E128" s="3">
        <v>24</v>
      </c>
      <c r="F128" s="3">
        <v>2110</v>
      </c>
      <c r="G128" s="3">
        <v>13</v>
      </c>
      <c r="H128" s="3">
        <v>3</v>
      </c>
      <c r="I128" s="3">
        <f t="shared" si="53"/>
        <v>16</v>
      </c>
      <c r="J128" s="3">
        <f t="shared" si="29"/>
        <v>13</v>
      </c>
      <c r="K128" s="3">
        <v>0</v>
      </c>
      <c r="L128" s="3">
        <v>0</v>
      </c>
      <c r="M128" s="4">
        <f t="shared" si="32"/>
        <v>0.14444444444444443</v>
      </c>
      <c r="N128" s="4">
        <f t="shared" si="33"/>
        <v>3.3333333333333333E-2</v>
      </c>
      <c r="O128" s="4">
        <f t="shared" si="27"/>
        <v>0.17777777777777778</v>
      </c>
      <c r="P128" s="5">
        <f t="shared" si="50"/>
        <v>0.10815521041570557</v>
      </c>
      <c r="Q128" s="5">
        <f t="shared" si="51"/>
        <v>0.125</v>
      </c>
      <c r="R128" s="5"/>
    </row>
    <row r="129" spans="1:18" x14ac:dyDescent="0.3">
      <c r="A129" s="3" t="s">
        <v>88</v>
      </c>
      <c r="B129" s="3" t="s">
        <v>32</v>
      </c>
      <c r="C129" s="3" t="s">
        <v>35</v>
      </c>
      <c r="D129" s="3">
        <v>20</v>
      </c>
      <c r="E129" s="3">
        <v>8</v>
      </c>
      <c r="F129" s="3">
        <v>728</v>
      </c>
      <c r="G129" s="3">
        <v>6</v>
      </c>
      <c r="H129" s="3">
        <v>1</v>
      </c>
      <c r="I129" s="3">
        <f t="shared" ref="I129:I160" si="54">SUM(G129,H129)</f>
        <v>7</v>
      </c>
      <c r="J129" s="3">
        <f t="shared" si="29"/>
        <v>4</v>
      </c>
      <c r="K129" s="3">
        <v>2</v>
      </c>
      <c r="L129" s="3">
        <v>3</v>
      </c>
      <c r="M129" s="4">
        <f t="shared" si="32"/>
        <v>6.6666666666666666E-2</v>
      </c>
      <c r="N129" s="4">
        <f t="shared" si="33"/>
        <v>1.1111111111111112E-2</v>
      </c>
      <c r="O129" s="4">
        <f t="shared" si="27"/>
        <v>7.7777777777777779E-2</v>
      </c>
      <c r="P129" s="5">
        <f t="shared" si="50"/>
        <v>3.7316110513096516E-2</v>
      </c>
      <c r="Q129" s="5">
        <f t="shared" si="51"/>
        <v>5.46875E-2</v>
      </c>
      <c r="R129" s="5">
        <f t="shared" si="52"/>
        <v>0.66666666666666663</v>
      </c>
    </row>
    <row r="130" spans="1:18" x14ac:dyDescent="0.3">
      <c r="A130" s="1" t="s">
        <v>88</v>
      </c>
      <c r="B130" s="1" t="s">
        <v>38</v>
      </c>
      <c r="C130" s="1" t="s">
        <v>40</v>
      </c>
      <c r="D130" s="1">
        <v>57</v>
      </c>
      <c r="E130" s="1">
        <v>46</v>
      </c>
      <c r="F130" s="1">
        <v>4144</v>
      </c>
      <c r="G130" s="1">
        <v>21</v>
      </c>
      <c r="H130" s="1">
        <v>13</v>
      </c>
      <c r="I130" s="1">
        <f t="shared" si="54"/>
        <v>34</v>
      </c>
      <c r="J130" s="1">
        <f t="shared" si="29"/>
        <v>20</v>
      </c>
      <c r="K130" s="1">
        <v>1</v>
      </c>
      <c r="L130" s="1">
        <v>1</v>
      </c>
      <c r="M130" s="10">
        <f t="shared" si="32"/>
        <v>0.23333333333333334</v>
      </c>
      <c r="N130" s="10">
        <f t="shared" si="33"/>
        <v>0.14444444444444443</v>
      </c>
      <c r="O130" s="10">
        <f t="shared" si="27"/>
        <v>0.37777777777777777</v>
      </c>
      <c r="P130" s="7">
        <f>F130/$F$302</f>
        <v>0.30900007456565504</v>
      </c>
      <c r="Q130" s="7">
        <f>I130/$I$302</f>
        <v>0.36956521739130432</v>
      </c>
      <c r="R130" s="11">
        <f t="shared" si="52"/>
        <v>1</v>
      </c>
    </row>
    <row r="131" spans="1:18" x14ac:dyDescent="0.3">
      <c r="A131" s="1" t="s">
        <v>88</v>
      </c>
      <c r="B131" s="1" t="s">
        <v>38</v>
      </c>
      <c r="C131" s="1" t="s">
        <v>86</v>
      </c>
      <c r="D131" s="1">
        <v>52</v>
      </c>
      <c r="E131" s="1">
        <v>36</v>
      </c>
      <c r="F131" s="1">
        <v>3142</v>
      </c>
      <c r="G131" s="1">
        <v>12</v>
      </c>
      <c r="H131" s="1">
        <v>5</v>
      </c>
      <c r="I131" s="1">
        <f t="shared" si="54"/>
        <v>17</v>
      </c>
      <c r="J131" s="1">
        <f t="shared" si="29"/>
        <v>12</v>
      </c>
      <c r="K131" s="1">
        <v>0</v>
      </c>
      <c r="L131" s="1">
        <v>0</v>
      </c>
      <c r="M131" s="10">
        <f t="shared" si="32"/>
        <v>0.13333333333333333</v>
      </c>
      <c r="N131" s="10">
        <f t="shared" si="33"/>
        <v>5.5555555555555552E-2</v>
      </c>
      <c r="O131" s="10">
        <f t="shared" si="27"/>
        <v>0.18888888888888888</v>
      </c>
      <c r="P131" s="7">
        <f>F131/$F$302</f>
        <v>0.2342852881962568</v>
      </c>
      <c r="Q131" s="7">
        <f>I131/$I$302</f>
        <v>0.18478260869565216</v>
      </c>
      <c r="R131" s="11"/>
    </row>
    <row r="132" spans="1:18" x14ac:dyDescent="0.3">
      <c r="A132" s="1" t="s">
        <v>88</v>
      </c>
      <c r="B132" s="1" t="s">
        <v>38</v>
      </c>
      <c r="C132" s="1" t="s">
        <v>43</v>
      </c>
      <c r="D132" s="1">
        <v>36</v>
      </c>
      <c r="E132" s="1">
        <v>27</v>
      </c>
      <c r="F132" s="1">
        <v>2415</v>
      </c>
      <c r="G132" s="1">
        <v>7</v>
      </c>
      <c r="H132" s="1">
        <v>5</v>
      </c>
      <c r="I132" s="1">
        <f t="shared" si="54"/>
        <v>12</v>
      </c>
      <c r="J132" s="1">
        <f t="shared" si="29"/>
        <v>6</v>
      </c>
      <c r="K132" s="1">
        <v>1</v>
      </c>
      <c r="L132" s="1">
        <v>1</v>
      </c>
      <c r="M132" s="10">
        <f t="shared" si="32"/>
        <v>7.7777777777777779E-2</v>
      </c>
      <c r="N132" s="10">
        <f t="shared" si="33"/>
        <v>5.5555555555555552E-2</v>
      </c>
      <c r="O132" s="10">
        <f t="shared" si="27"/>
        <v>0.13333333333333333</v>
      </c>
      <c r="P132" s="7">
        <f>F132/$F$302</f>
        <v>0.18007605696816045</v>
      </c>
      <c r="Q132" s="7">
        <f>I132/$I$302</f>
        <v>0.13043478260869565</v>
      </c>
      <c r="R132" s="11">
        <f t="shared" si="52"/>
        <v>1</v>
      </c>
    </row>
    <row r="133" spans="1:18" x14ac:dyDescent="0.3">
      <c r="A133" s="1" t="s">
        <v>88</v>
      </c>
      <c r="B133" s="1" t="s">
        <v>38</v>
      </c>
      <c r="C133" s="1" t="s">
        <v>96</v>
      </c>
      <c r="D133" s="1">
        <v>39</v>
      </c>
      <c r="E133" s="1">
        <v>21</v>
      </c>
      <c r="F133" s="1">
        <v>2192</v>
      </c>
      <c r="G133" s="1">
        <v>17</v>
      </c>
      <c r="H133" s="1">
        <v>5</v>
      </c>
      <c r="I133" s="1">
        <f t="shared" si="54"/>
        <v>22</v>
      </c>
      <c r="J133" s="1">
        <f t="shared" si="29"/>
        <v>17</v>
      </c>
      <c r="K133" s="1">
        <v>0</v>
      </c>
      <c r="L133" s="1">
        <v>0</v>
      </c>
      <c r="M133" s="10">
        <f t="shared" si="32"/>
        <v>0.18888888888888888</v>
      </c>
      <c r="N133" s="10">
        <f t="shared" si="33"/>
        <v>5.5555555555555552E-2</v>
      </c>
      <c r="O133" s="10">
        <f t="shared" si="27"/>
        <v>0.24444444444444444</v>
      </c>
      <c r="P133" s="7">
        <f>F133/$F$302</f>
        <v>0.16344791588994109</v>
      </c>
      <c r="Q133" s="7">
        <f>I133/$I$302</f>
        <v>0.2391304347826087</v>
      </c>
    </row>
    <row r="134" spans="1:18" x14ac:dyDescent="0.3">
      <c r="A134" s="1" t="s">
        <v>88</v>
      </c>
      <c r="B134" s="1" t="s">
        <v>38</v>
      </c>
      <c r="C134" s="1" t="s">
        <v>85</v>
      </c>
      <c r="D134" s="1">
        <v>26</v>
      </c>
      <c r="E134" s="1">
        <v>18</v>
      </c>
      <c r="F134" s="1">
        <v>1518</v>
      </c>
      <c r="G134" s="1">
        <v>5</v>
      </c>
      <c r="H134" s="1">
        <v>2</v>
      </c>
      <c r="I134" s="1">
        <f t="shared" si="54"/>
        <v>7</v>
      </c>
      <c r="J134" s="1">
        <f t="shared" si="29"/>
        <v>5</v>
      </c>
      <c r="K134" s="1">
        <v>0</v>
      </c>
      <c r="L134" s="1">
        <v>0</v>
      </c>
      <c r="M134" s="10">
        <f t="shared" si="32"/>
        <v>5.5555555555555552E-2</v>
      </c>
      <c r="N134" s="10">
        <f t="shared" si="33"/>
        <v>2.2222222222222223E-2</v>
      </c>
      <c r="O134" s="10">
        <f t="shared" si="27"/>
        <v>7.7777777777777779E-2</v>
      </c>
      <c r="P134" s="7">
        <f>F134/$F$302</f>
        <v>0.11319066437998658</v>
      </c>
      <c r="Q134" s="7">
        <f>I134/$I$302</f>
        <v>7.6086956521739135E-2</v>
      </c>
    </row>
    <row r="135" spans="1:18" x14ac:dyDescent="0.3">
      <c r="A135" s="3" t="s">
        <v>88</v>
      </c>
      <c r="B135" s="3" t="s">
        <v>46</v>
      </c>
      <c r="C135" s="3" t="s">
        <v>49</v>
      </c>
      <c r="D135" s="3">
        <v>49</v>
      </c>
      <c r="E135" s="3">
        <v>42</v>
      </c>
      <c r="F135" s="3">
        <v>3806</v>
      </c>
      <c r="G135" s="3">
        <v>21</v>
      </c>
      <c r="H135" s="3">
        <v>14</v>
      </c>
      <c r="I135" s="3">
        <f t="shared" si="54"/>
        <v>35</v>
      </c>
      <c r="J135" s="3">
        <f t="shared" si="29"/>
        <v>20</v>
      </c>
      <c r="K135" s="3">
        <v>1</v>
      </c>
      <c r="L135" s="3">
        <v>1</v>
      </c>
      <c r="M135" s="4">
        <f t="shared" si="32"/>
        <v>0.23333333333333334</v>
      </c>
      <c r="N135" s="4">
        <f t="shared" si="33"/>
        <v>0.15555555555555556</v>
      </c>
      <c r="O135" s="4">
        <f t="shared" si="27"/>
        <v>0.3888888888888889</v>
      </c>
      <c r="P135" s="5">
        <f t="shared" ref="P135:P140" si="55">F135/$F$303</f>
        <v>0.26043519912412755</v>
      </c>
      <c r="Q135" s="5">
        <f t="shared" ref="Q135:Q140" si="56">I135/$I$303</f>
        <v>0.28455284552845528</v>
      </c>
      <c r="R135" s="5">
        <f>K135/L135</f>
        <v>1</v>
      </c>
    </row>
    <row r="136" spans="1:18" x14ac:dyDescent="0.3">
      <c r="A136" s="3" t="s">
        <v>88</v>
      </c>
      <c r="B136" s="3" t="s">
        <v>46</v>
      </c>
      <c r="C136" s="3" t="s">
        <v>47</v>
      </c>
      <c r="D136" s="3">
        <v>46</v>
      </c>
      <c r="E136" s="3">
        <v>41</v>
      </c>
      <c r="F136" s="3">
        <v>3788</v>
      </c>
      <c r="G136" s="3">
        <v>28</v>
      </c>
      <c r="H136" s="3">
        <v>16</v>
      </c>
      <c r="I136" s="3">
        <f t="shared" si="54"/>
        <v>44</v>
      </c>
      <c r="J136" s="3">
        <f t="shared" si="29"/>
        <v>24</v>
      </c>
      <c r="K136" s="3">
        <v>4</v>
      </c>
      <c r="L136" s="3">
        <v>4</v>
      </c>
      <c r="M136" s="4">
        <f t="shared" si="32"/>
        <v>0.31111111111111112</v>
      </c>
      <c r="N136" s="4">
        <f t="shared" si="33"/>
        <v>0.17777777777777778</v>
      </c>
      <c r="O136" s="4">
        <f t="shared" si="27"/>
        <v>0.48888888888888887</v>
      </c>
      <c r="P136" s="5">
        <f t="shared" si="55"/>
        <v>0.25920350348980431</v>
      </c>
      <c r="Q136" s="5">
        <f t="shared" si="56"/>
        <v>0.35772357723577236</v>
      </c>
      <c r="R136" s="5">
        <f>K136/L136</f>
        <v>1</v>
      </c>
    </row>
    <row r="137" spans="1:18" x14ac:dyDescent="0.3">
      <c r="A137" s="3" t="s">
        <v>88</v>
      </c>
      <c r="B137" s="3" t="s">
        <v>46</v>
      </c>
      <c r="C137" s="3" t="s">
        <v>51</v>
      </c>
      <c r="D137" s="3">
        <v>47</v>
      </c>
      <c r="E137" s="3">
        <v>27</v>
      </c>
      <c r="F137" s="3">
        <v>2425</v>
      </c>
      <c r="G137" s="3">
        <v>8</v>
      </c>
      <c r="H137" s="3">
        <v>7</v>
      </c>
      <c r="I137" s="3">
        <f t="shared" si="54"/>
        <v>15</v>
      </c>
      <c r="J137" s="3">
        <f t="shared" si="29"/>
        <v>8</v>
      </c>
      <c r="K137" s="3">
        <v>0</v>
      </c>
      <c r="L137" s="3">
        <v>0</v>
      </c>
      <c r="M137" s="4">
        <f t="shared" si="32"/>
        <v>8.8888888888888892E-2</v>
      </c>
      <c r="N137" s="4">
        <f t="shared" si="33"/>
        <v>7.7777777777777779E-2</v>
      </c>
      <c r="O137" s="4">
        <f t="shared" si="27"/>
        <v>0.16666666666666666</v>
      </c>
      <c r="P137" s="5">
        <f t="shared" si="55"/>
        <v>0.16593677295743808</v>
      </c>
      <c r="Q137" s="5">
        <f t="shared" si="56"/>
        <v>0.12195121951219512</v>
      </c>
      <c r="R137" s="5"/>
    </row>
    <row r="138" spans="1:18" x14ac:dyDescent="0.3">
      <c r="A138" s="3" t="s">
        <v>88</v>
      </c>
      <c r="B138" s="3" t="s">
        <v>46</v>
      </c>
      <c r="C138" s="3" t="s">
        <v>97</v>
      </c>
      <c r="D138" s="3">
        <v>34</v>
      </c>
      <c r="E138" s="3">
        <v>19</v>
      </c>
      <c r="F138" s="3">
        <v>1665</v>
      </c>
      <c r="G138" s="3">
        <v>16</v>
      </c>
      <c r="H138" s="3">
        <v>4</v>
      </c>
      <c r="I138" s="3">
        <f t="shared" si="54"/>
        <v>20</v>
      </c>
      <c r="J138" s="3">
        <f t="shared" si="29"/>
        <v>15</v>
      </c>
      <c r="K138" s="3">
        <v>1</v>
      </c>
      <c r="L138" s="3">
        <v>1</v>
      </c>
      <c r="M138" s="4">
        <f t="shared" si="32"/>
        <v>0.17777777777777778</v>
      </c>
      <c r="N138" s="4">
        <f t="shared" si="33"/>
        <v>4.4444444444444446E-2</v>
      </c>
      <c r="O138" s="4">
        <f t="shared" si="27"/>
        <v>0.22222222222222221</v>
      </c>
      <c r="P138" s="5">
        <f t="shared" si="55"/>
        <v>0.11393184617490078</v>
      </c>
      <c r="Q138" s="5">
        <f t="shared" si="56"/>
        <v>0.16260162601626016</v>
      </c>
      <c r="R138" s="5">
        <f>K138/L138</f>
        <v>1</v>
      </c>
    </row>
    <row r="139" spans="1:18" x14ac:dyDescent="0.3">
      <c r="A139" s="3" t="s">
        <v>88</v>
      </c>
      <c r="B139" s="3" t="s">
        <v>46</v>
      </c>
      <c r="C139" s="3" t="s">
        <v>98</v>
      </c>
      <c r="D139" s="3">
        <v>32</v>
      </c>
      <c r="E139" s="3">
        <v>17</v>
      </c>
      <c r="F139" s="3">
        <v>1612</v>
      </c>
      <c r="G139" s="3">
        <v>1</v>
      </c>
      <c r="H139" s="3">
        <v>3</v>
      </c>
      <c r="I139" s="3">
        <f t="shared" si="54"/>
        <v>4</v>
      </c>
      <c r="J139" s="3">
        <f t="shared" si="29"/>
        <v>1</v>
      </c>
      <c r="K139" s="3">
        <v>0</v>
      </c>
      <c r="L139" s="3">
        <v>0</v>
      </c>
      <c r="M139" s="4">
        <f t="shared" si="32"/>
        <v>1.1111111111111112E-2</v>
      </c>
      <c r="N139" s="4">
        <f t="shared" si="33"/>
        <v>3.3333333333333333E-2</v>
      </c>
      <c r="O139" s="4">
        <f t="shared" si="27"/>
        <v>4.4444444444444446E-2</v>
      </c>
      <c r="P139" s="5">
        <f t="shared" si="55"/>
        <v>0.1103051868071712</v>
      </c>
      <c r="Q139" s="5">
        <f t="shared" si="56"/>
        <v>3.2520325203252036E-2</v>
      </c>
      <c r="R139" s="3"/>
    </row>
    <row r="140" spans="1:18" x14ac:dyDescent="0.3">
      <c r="A140" s="3" t="s">
        <v>88</v>
      </c>
      <c r="B140" s="3" t="s">
        <v>46</v>
      </c>
      <c r="C140" s="3" t="s">
        <v>54</v>
      </c>
      <c r="D140" s="3">
        <v>33</v>
      </c>
      <c r="E140" s="3">
        <v>12</v>
      </c>
      <c r="F140" s="3">
        <v>1318</v>
      </c>
      <c r="G140" s="3">
        <v>3</v>
      </c>
      <c r="H140" s="3">
        <v>2</v>
      </c>
      <c r="I140" s="3">
        <f t="shared" si="54"/>
        <v>5</v>
      </c>
      <c r="J140" s="3">
        <f t="shared" si="29"/>
        <v>3</v>
      </c>
      <c r="K140" s="3">
        <v>0</v>
      </c>
      <c r="L140" s="3">
        <v>0</v>
      </c>
      <c r="M140" s="4">
        <f t="shared" si="32"/>
        <v>3.3333333333333333E-2</v>
      </c>
      <c r="N140" s="4">
        <f t="shared" si="33"/>
        <v>2.2222222222222223E-2</v>
      </c>
      <c r="O140" s="4">
        <f t="shared" si="27"/>
        <v>5.5555555555555552E-2</v>
      </c>
      <c r="P140" s="5">
        <f t="shared" si="55"/>
        <v>9.0187491446558091E-2</v>
      </c>
      <c r="Q140" s="5">
        <f t="shared" si="56"/>
        <v>4.065040650406504E-2</v>
      </c>
      <c r="R140" s="3"/>
    </row>
    <row r="141" spans="1:18" x14ac:dyDescent="0.3">
      <c r="A141" s="1" t="s">
        <v>99</v>
      </c>
      <c r="B141" s="1" t="s">
        <v>13</v>
      </c>
      <c r="C141" s="1" t="s">
        <v>15</v>
      </c>
      <c r="D141" s="1">
        <v>51</v>
      </c>
      <c r="E141" s="1">
        <v>45</v>
      </c>
      <c r="F141" s="1">
        <v>4008</v>
      </c>
      <c r="G141" s="1">
        <v>31</v>
      </c>
      <c r="H141" s="1">
        <v>15</v>
      </c>
      <c r="I141" s="1">
        <f t="shared" si="54"/>
        <v>46</v>
      </c>
      <c r="J141" s="1">
        <f t="shared" si="29"/>
        <v>25</v>
      </c>
      <c r="K141" s="1">
        <v>6</v>
      </c>
      <c r="L141" s="1">
        <v>8</v>
      </c>
      <c r="M141" s="10">
        <f t="shared" si="32"/>
        <v>0.34444444444444444</v>
      </c>
      <c r="N141" s="10">
        <f t="shared" si="33"/>
        <v>0.16666666666666666</v>
      </c>
      <c r="O141" s="10">
        <f t="shared" si="27"/>
        <v>0.51111111111111107</v>
      </c>
      <c r="P141" s="7">
        <f t="shared" ref="P141:P147" si="57">F141/$F$304</f>
        <v>0.24106820642367377</v>
      </c>
      <c r="Q141" s="7">
        <f>I141/$I$304</f>
        <v>0.31724137931034485</v>
      </c>
      <c r="R141" s="6">
        <f>K141/L141</f>
        <v>0.75</v>
      </c>
    </row>
    <row r="142" spans="1:18" x14ac:dyDescent="0.3">
      <c r="A142" s="1" t="s">
        <v>99</v>
      </c>
      <c r="B142" s="1" t="s">
        <v>13</v>
      </c>
      <c r="C142" s="1" t="s">
        <v>16</v>
      </c>
      <c r="D142" s="1">
        <v>51</v>
      </c>
      <c r="E142" s="1">
        <v>46</v>
      </c>
      <c r="F142" s="1">
        <v>3927</v>
      </c>
      <c r="G142" s="1">
        <v>23</v>
      </c>
      <c r="H142" s="1">
        <v>3</v>
      </c>
      <c r="I142" s="1">
        <f t="shared" si="54"/>
        <v>26</v>
      </c>
      <c r="J142" s="1">
        <f t="shared" si="29"/>
        <v>23</v>
      </c>
      <c r="K142" s="1">
        <v>0</v>
      </c>
      <c r="L142" s="1">
        <v>0</v>
      </c>
      <c r="M142" s="10">
        <f t="shared" si="32"/>
        <v>0.25555555555555554</v>
      </c>
      <c r="N142" s="10">
        <f t="shared" si="33"/>
        <v>3.3333333333333333E-2</v>
      </c>
      <c r="O142" s="10">
        <f t="shared" si="27"/>
        <v>0.28888888888888886</v>
      </c>
      <c r="P142" s="7">
        <f t="shared" si="57"/>
        <v>0.2361963190184049</v>
      </c>
      <c r="Q142" s="7">
        <f t="shared" ref="Q142:Q147" si="58">I142/$I$304</f>
        <v>0.1793103448275862</v>
      </c>
    </row>
    <row r="143" spans="1:18" x14ac:dyDescent="0.3">
      <c r="A143" s="1" t="s">
        <v>99</v>
      </c>
      <c r="B143" s="1" t="s">
        <v>13</v>
      </c>
      <c r="C143" s="1" t="s">
        <v>89</v>
      </c>
      <c r="D143" s="1">
        <v>55</v>
      </c>
      <c r="E143" s="1">
        <v>39</v>
      </c>
      <c r="F143" s="1">
        <v>3565</v>
      </c>
      <c r="G143" s="1">
        <v>21</v>
      </c>
      <c r="H143" s="1">
        <v>6</v>
      </c>
      <c r="I143" s="1">
        <f t="shared" si="54"/>
        <v>27</v>
      </c>
      <c r="J143" s="1">
        <f t="shared" si="29"/>
        <v>21</v>
      </c>
      <c r="K143" s="1">
        <v>0</v>
      </c>
      <c r="L143" s="1">
        <v>0</v>
      </c>
      <c r="M143" s="10">
        <f t="shared" si="32"/>
        <v>0.23333333333333334</v>
      </c>
      <c r="N143" s="10">
        <f t="shared" si="33"/>
        <v>6.6666666666666666E-2</v>
      </c>
      <c r="O143" s="10">
        <f t="shared" si="27"/>
        <v>0.3</v>
      </c>
      <c r="P143" s="7">
        <f t="shared" si="57"/>
        <v>0.2144231925899194</v>
      </c>
      <c r="Q143" s="7">
        <f t="shared" si="58"/>
        <v>0.18620689655172415</v>
      </c>
    </row>
    <row r="144" spans="1:18" x14ac:dyDescent="0.3">
      <c r="A144" s="1" t="s">
        <v>99</v>
      </c>
      <c r="B144" s="1" t="s">
        <v>13</v>
      </c>
      <c r="C144" s="1" t="s">
        <v>14</v>
      </c>
      <c r="D144" s="1">
        <v>35</v>
      </c>
      <c r="E144" s="1">
        <v>17</v>
      </c>
      <c r="F144" s="1">
        <v>1814</v>
      </c>
      <c r="G144" s="1">
        <v>11</v>
      </c>
      <c r="H144" s="1">
        <v>5</v>
      </c>
      <c r="I144" s="1">
        <f t="shared" si="54"/>
        <v>16</v>
      </c>
      <c r="J144" s="1">
        <f t="shared" si="29"/>
        <v>11</v>
      </c>
      <c r="K144" s="1">
        <v>0</v>
      </c>
      <c r="L144" s="1">
        <v>0</v>
      </c>
      <c r="M144" s="10">
        <f t="shared" si="32"/>
        <v>0.12222222222222222</v>
      </c>
      <c r="N144" s="10">
        <f t="shared" si="33"/>
        <v>5.5555555555555552E-2</v>
      </c>
      <c r="O144" s="10">
        <f t="shared" si="27"/>
        <v>0.17777777777777778</v>
      </c>
      <c r="P144" s="7">
        <f t="shared" si="57"/>
        <v>0.10910621917478648</v>
      </c>
      <c r="Q144" s="7">
        <f t="shared" si="58"/>
        <v>0.1103448275862069</v>
      </c>
    </row>
    <row r="145" spans="1:18" x14ac:dyDescent="0.3">
      <c r="A145" s="1" t="s">
        <v>99</v>
      </c>
      <c r="B145" s="1" t="s">
        <v>13</v>
      </c>
      <c r="C145" s="1" t="s">
        <v>100</v>
      </c>
      <c r="D145" s="1">
        <v>26</v>
      </c>
      <c r="E145" s="1">
        <v>18</v>
      </c>
      <c r="F145" s="1">
        <v>1686</v>
      </c>
      <c r="G145" s="1">
        <v>6</v>
      </c>
      <c r="H145" s="1">
        <v>4</v>
      </c>
      <c r="I145" s="1">
        <f t="shared" si="54"/>
        <v>10</v>
      </c>
      <c r="J145" s="1">
        <f t="shared" si="29"/>
        <v>6</v>
      </c>
      <c r="K145" s="1">
        <v>0</v>
      </c>
      <c r="L145" s="1">
        <v>0</v>
      </c>
      <c r="M145" s="10">
        <f t="shared" si="32"/>
        <v>6.6666666666666666E-2</v>
      </c>
      <c r="N145" s="10">
        <f t="shared" si="33"/>
        <v>4.4444444444444446E-2</v>
      </c>
      <c r="O145" s="10">
        <f t="shared" si="27"/>
        <v>0.1111111111111111</v>
      </c>
      <c r="P145" s="7">
        <f t="shared" si="57"/>
        <v>0.1014074341392999</v>
      </c>
      <c r="Q145" s="7">
        <f t="shared" si="58"/>
        <v>6.8965517241379309E-2</v>
      </c>
    </row>
    <row r="146" spans="1:18" x14ac:dyDescent="0.3">
      <c r="A146" s="1" t="s">
        <v>99</v>
      </c>
      <c r="B146" s="1" t="s">
        <v>13</v>
      </c>
      <c r="C146" s="1" t="s">
        <v>90</v>
      </c>
      <c r="D146" s="1">
        <v>24</v>
      </c>
      <c r="E146" s="1">
        <v>9</v>
      </c>
      <c r="F146" s="1">
        <v>1021</v>
      </c>
      <c r="G146" s="1">
        <v>10</v>
      </c>
      <c r="H146" s="1">
        <v>1</v>
      </c>
      <c r="I146" s="1">
        <f t="shared" si="54"/>
        <v>11</v>
      </c>
      <c r="J146" s="1">
        <f t="shared" si="29"/>
        <v>10</v>
      </c>
      <c r="K146" s="1">
        <v>0</v>
      </c>
      <c r="L146" s="1">
        <v>0</v>
      </c>
      <c r="M146" s="10">
        <f t="shared" si="32"/>
        <v>0.1111111111111111</v>
      </c>
      <c r="N146" s="10">
        <f t="shared" si="33"/>
        <v>1.1111111111111112E-2</v>
      </c>
      <c r="O146" s="10">
        <f t="shared" si="27"/>
        <v>0.12222222222222222</v>
      </c>
      <c r="P146" s="7">
        <f t="shared" si="57"/>
        <v>6.1409840009623483E-2</v>
      </c>
      <c r="Q146" s="7">
        <f t="shared" si="58"/>
        <v>7.586206896551724E-2</v>
      </c>
    </row>
    <row r="147" spans="1:18" x14ac:dyDescent="0.3">
      <c r="A147" s="1" t="s">
        <v>99</v>
      </c>
      <c r="B147" s="1" t="s">
        <v>13</v>
      </c>
      <c r="C147" s="1" t="s">
        <v>52</v>
      </c>
      <c r="D147" s="1">
        <v>18</v>
      </c>
      <c r="E147" s="1">
        <v>5</v>
      </c>
      <c r="F147" s="1">
        <v>605</v>
      </c>
      <c r="G147" s="1">
        <v>6</v>
      </c>
      <c r="H147" s="1">
        <v>3</v>
      </c>
      <c r="I147" s="1">
        <f t="shared" si="54"/>
        <v>9</v>
      </c>
      <c r="J147" s="1">
        <f t="shared" si="29"/>
        <v>6</v>
      </c>
      <c r="K147" s="1">
        <v>0</v>
      </c>
      <c r="L147" s="1">
        <v>0</v>
      </c>
      <c r="M147" s="10">
        <f t="shared" si="32"/>
        <v>6.6666666666666666E-2</v>
      </c>
      <c r="N147" s="10">
        <f t="shared" si="33"/>
        <v>3.3333333333333333E-2</v>
      </c>
      <c r="O147" s="10">
        <f t="shared" si="27"/>
        <v>0.1</v>
      </c>
      <c r="P147" s="7">
        <f t="shared" si="57"/>
        <v>3.6388788644292069E-2</v>
      </c>
      <c r="Q147" s="7">
        <f t="shared" si="58"/>
        <v>6.2068965517241378E-2</v>
      </c>
    </row>
    <row r="148" spans="1:18" x14ac:dyDescent="0.3">
      <c r="A148" s="3" t="s">
        <v>99</v>
      </c>
      <c r="B148" s="3" t="s">
        <v>20</v>
      </c>
      <c r="C148" s="3" t="s">
        <v>101</v>
      </c>
      <c r="D148" s="3">
        <v>43</v>
      </c>
      <c r="E148" s="3">
        <v>40</v>
      </c>
      <c r="F148" s="3">
        <v>3343</v>
      </c>
      <c r="G148" s="3">
        <v>12</v>
      </c>
      <c r="H148" s="3">
        <v>7</v>
      </c>
      <c r="I148" s="3">
        <f t="shared" si="54"/>
        <v>19</v>
      </c>
      <c r="J148" s="3">
        <f t="shared" si="29"/>
        <v>10</v>
      </c>
      <c r="K148" s="3">
        <v>2</v>
      </c>
      <c r="L148" s="3">
        <v>2</v>
      </c>
      <c r="M148" s="4">
        <f t="shared" si="32"/>
        <v>0.13333333333333333</v>
      </c>
      <c r="N148" s="4">
        <f t="shared" si="33"/>
        <v>7.7777777777777779E-2</v>
      </c>
      <c r="O148" s="4">
        <f t="shared" si="27"/>
        <v>0.21111111111111111</v>
      </c>
      <c r="P148" s="5">
        <f>F148/$F$305</f>
        <v>0.33053193593039354</v>
      </c>
      <c r="Q148" s="5">
        <f>I148/$I$305</f>
        <v>0.29230769230769232</v>
      </c>
      <c r="R148" s="5">
        <f>K148/L148</f>
        <v>1</v>
      </c>
    </row>
    <row r="149" spans="1:18" x14ac:dyDescent="0.3">
      <c r="A149" s="3" t="s">
        <v>99</v>
      </c>
      <c r="B149" s="3" t="s">
        <v>20</v>
      </c>
      <c r="C149" s="3" t="s">
        <v>91</v>
      </c>
      <c r="D149" s="3">
        <v>36</v>
      </c>
      <c r="E149" s="3">
        <v>26</v>
      </c>
      <c r="F149" s="3">
        <v>2328</v>
      </c>
      <c r="G149" s="3">
        <v>6</v>
      </c>
      <c r="H149" s="3">
        <v>6</v>
      </c>
      <c r="I149" s="3">
        <f t="shared" si="54"/>
        <v>12</v>
      </c>
      <c r="J149" s="3">
        <f t="shared" si="29"/>
        <v>5</v>
      </c>
      <c r="K149" s="3">
        <v>1</v>
      </c>
      <c r="L149" s="3">
        <v>1</v>
      </c>
      <c r="M149" s="4">
        <f t="shared" si="32"/>
        <v>6.6666666666666666E-2</v>
      </c>
      <c r="N149" s="4">
        <f t="shared" si="33"/>
        <v>6.6666666666666666E-2</v>
      </c>
      <c r="O149" s="4">
        <f t="shared" si="27"/>
        <v>0.13333333333333333</v>
      </c>
      <c r="P149" s="5">
        <f t="shared" ref="P149:P152" si="59">F149/$F$305</f>
        <v>0.23017599367213762</v>
      </c>
      <c r="Q149" s="5">
        <f t="shared" ref="Q149:Q152" si="60">I149/$I$305</f>
        <v>0.18461538461538463</v>
      </c>
      <c r="R149" s="5">
        <f t="shared" ref="R149:R155" si="61">K149/L149</f>
        <v>1</v>
      </c>
    </row>
    <row r="150" spans="1:18" x14ac:dyDescent="0.3">
      <c r="A150" s="3" t="s">
        <v>99</v>
      </c>
      <c r="B150" s="3" t="s">
        <v>20</v>
      </c>
      <c r="C150" s="3" t="s">
        <v>21</v>
      </c>
      <c r="D150" s="3">
        <v>36</v>
      </c>
      <c r="E150" s="3">
        <v>23</v>
      </c>
      <c r="F150" s="3">
        <v>2100</v>
      </c>
      <c r="G150" s="3">
        <v>6</v>
      </c>
      <c r="H150" s="3">
        <v>8</v>
      </c>
      <c r="I150" s="3">
        <f t="shared" si="54"/>
        <v>14</v>
      </c>
      <c r="J150" s="3">
        <f t="shared" si="29"/>
        <v>3</v>
      </c>
      <c r="K150" s="3">
        <v>3</v>
      </c>
      <c r="L150" s="3">
        <v>4</v>
      </c>
      <c r="M150" s="4">
        <f t="shared" si="32"/>
        <v>6.6666666666666666E-2</v>
      </c>
      <c r="N150" s="4">
        <f t="shared" si="33"/>
        <v>8.8888888888888892E-2</v>
      </c>
      <c r="O150" s="4">
        <f t="shared" si="27"/>
        <v>0.15555555555555556</v>
      </c>
      <c r="P150" s="5">
        <f t="shared" si="59"/>
        <v>0.20763298398259838</v>
      </c>
      <c r="Q150" s="5">
        <f t="shared" si="60"/>
        <v>0.2153846153846154</v>
      </c>
      <c r="R150" s="5">
        <f t="shared" si="61"/>
        <v>0.75</v>
      </c>
    </row>
    <row r="151" spans="1:18" x14ac:dyDescent="0.3">
      <c r="A151" s="3" t="s">
        <v>99</v>
      </c>
      <c r="B151" s="3" t="s">
        <v>20</v>
      </c>
      <c r="C151" s="3" t="s">
        <v>25</v>
      </c>
      <c r="D151" s="3">
        <v>27</v>
      </c>
      <c r="E151" s="3">
        <v>13</v>
      </c>
      <c r="F151" s="3">
        <v>1231</v>
      </c>
      <c r="G151" s="3">
        <v>10</v>
      </c>
      <c r="H151" s="3">
        <v>1</v>
      </c>
      <c r="I151" s="3">
        <f t="shared" si="54"/>
        <v>11</v>
      </c>
      <c r="J151" s="3">
        <f t="shared" si="29"/>
        <v>10</v>
      </c>
      <c r="K151" s="3">
        <v>0</v>
      </c>
      <c r="L151" s="3">
        <v>0</v>
      </c>
      <c r="M151" s="4">
        <f t="shared" si="32"/>
        <v>0.1111111111111111</v>
      </c>
      <c r="N151" s="4">
        <f t="shared" si="33"/>
        <v>1.1111111111111112E-2</v>
      </c>
      <c r="O151" s="4">
        <f t="shared" si="27"/>
        <v>0.12222222222222222</v>
      </c>
      <c r="P151" s="5">
        <f t="shared" si="59"/>
        <v>0.12171247775360886</v>
      </c>
      <c r="Q151" s="5">
        <f t="shared" si="60"/>
        <v>0.16923076923076924</v>
      </c>
      <c r="R151" s="5"/>
    </row>
    <row r="152" spans="1:18" x14ac:dyDescent="0.3">
      <c r="A152" s="3" t="s">
        <v>99</v>
      </c>
      <c r="B152" s="3" t="s">
        <v>20</v>
      </c>
      <c r="C152" s="3" t="s">
        <v>23</v>
      </c>
      <c r="D152" s="3">
        <v>15</v>
      </c>
      <c r="E152" s="3">
        <v>13</v>
      </c>
      <c r="F152" s="3">
        <v>1112</v>
      </c>
      <c r="G152" s="3">
        <v>7</v>
      </c>
      <c r="H152" s="3">
        <v>2</v>
      </c>
      <c r="I152" s="3">
        <f t="shared" si="54"/>
        <v>9</v>
      </c>
      <c r="J152" s="3">
        <f t="shared" si="29"/>
        <v>7</v>
      </c>
      <c r="K152" s="3">
        <v>0</v>
      </c>
      <c r="L152" s="3">
        <v>2</v>
      </c>
      <c r="M152" s="4">
        <f t="shared" si="32"/>
        <v>7.7777777777777779E-2</v>
      </c>
      <c r="N152" s="4">
        <f t="shared" si="33"/>
        <v>2.2222222222222223E-2</v>
      </c>
      <c r="O152" s="4">
        <f t="shared" si="27"/>
        <v>0.1</v>
      </c>
      <c r="P152" s="5">
        <f t="shared" si="59"/>
        <v>0.10994660866126162</v>
      </c>
      <c r="Q152" s="5">
        <f t="shared" si="60"/>
        <v>0.13846153846153847</v>
      </c>
      <c r="R152" s="5">
        <f t="shared" si="61"/>
        <v>0</v>
      </c>
    </row>
    <row r="153" spans="1:18" x14ac:dyDescent="0.3">
      <c r="A153" s="1" t="s">
        <v>99</v>
      </c>
      <c r="B153" s="1" t="s">
        <v>26</v>
      </c>
      <c r="C153" s="1" t="s">
        <v>93</v>
      </c>
      <c r="D153" s="1">
        <v>45</v>
      </c>
      <c r="E153" s="1">
        <v>33</v>
      </c>
      <c r="F153" s="1">
        <v>3035</v>
      </c>
      <c r="G153" s="1">
        <v>13</v>
      </c>
      <c r="H153" s="1">
        <v>5</v>
      </c>
      <c r="I153" s="1">
        <f t="shared" si="54"/>
        <v>18</v>
      </c>
      <c r="J153" s="1">
        <f t="shared" si="29"/>
        <v>13</v>
      </c>
      <c r="K153" s="1">
        <v>0</v>
      </c>
      <c r="L153" s="1">
        <v>0</v>
      </c>
      <c r="M153" s="10">
        <f t="shared" si="32"/>
        <v>0.14444444444444443</v>
      </c>
      <c r="N153" s="10">
        <f t="shared" si="33"/>
        <v>5.5555555555555552E-2</v>
      </c>
      <c r="O153" s="10">
        <f t="shared" si="27"/>
        <v>0.2</v>
      </c>
      <c r="P153" s="7">
        <f>F153/$F$306</f>
        <v>0.25448599698138519</v>
      </c>
      <c r="Q153" s="7">
        <f>I153/$I$306</f>
        <v>0.28125</v>
      </c>
    </row>
    <row r="154" spans="1:18" x14ac:dyDescent="0.3">
      <c r="A154" s="1" t="s">
        <v>99</v>
      </c>
      <c r="B154" s="1" t="s">
        <v>26</v>
      </c>
      <c r="C154" s="1" t="s">
        <v>39</v>
      </c>
      <c r="D154" s="1">
        <v>42</v>
      </c>
      <c r="E154" s="1">
        <v>27</v>
      </c>
      <c r="F154" s="1">
        <v>2589</v>
      </c>
      <c r="G154" s="1">
        <v>13</v>
      </c>
      <c r="H154" s="1">
        <v>0</v>
      </c>
      <c r="I154" s="1">
        <f t="shared" si="54"/>
        <v>13</v>
      </c>
      <c r="J154" s="1">
        <f t="shared" si="29"/>
        <v>12</v>
      </c>
      <c r="K154" s="1">
        <v>1</v>
      </c>
      <c r="L154" s="1">
        <v>1</v>
      </c>
      <c r="M154" s="10">
        <f t="shared" si="32"/>
        <v>0.14444444444444443</v>
      </c>
      <c r="N154" s="10">
        <f t="shared" si="33"/>
        <v>0</v>
      </c>
      <c r="O154" s="10">
        <f t="shared" si="27"/>
        <v>0.14444444444444443</v>
      </c>
      <c r="P154" s="7">
        <f>F154/$F$306</f>
        <v>0.21708871373469729</v>
      </c>
      <c r="Q154" s="7">
        <f>I154/$I$306</f>
        <v>0.203125</v>
      </c>
      <c r="R154" s="7">
        <f t="shared" si="61"/>
        <v>1</v>
      </c>
    </row>
    <row r="155" spans="1:18" x14ac:dyDescent="0.3">
      <c r="A155" s="1" t="s">
        <v>99</v>
      </c>
      <c r="B155" s="1" t="s">
        <v>26</v>
      </c>
      <c r="C155" s="1" t="s">
        <v>94</v>
      </c>
      <c r="D155" s="1">
        <v>42</v>
      </c>
      <c r="E155" s="1">
        <v>26</v>
      </c>
      <c r="F155" s="1">
        <v>2390</v>
      </c>
      <c r="G155" s="1">
        <v>8</v>
      </c>
      <c r="H155" s="1">
        <v>6</v>
      </c>
      <c r="I155" s="1">
        <f t="shared" si="54"/>
        <v>14</v>
      </c>
      <c r="J155" s="1">
        <f t="shared" si="29"/>
        <v>7</v>
      </c>
      <c r="K155" s="1">
        <v>1</v>
      </c>
      <c r="L155" s="1">
        <v>1</v>
      </c>
      <c r="M155" s="10">
        <f t="shared" si="32"/>
        <v>8.8888888888888892E-2</v>
      </c>
      <c r="N155" s="10">
        <f t="shared" si="33"/>
        <v>6.6666666666666666E-2</v>
      </c>
      <c r="O155" s="10">
        <f t="shared" si="27"/>
        <v>0.15555555555555556</v>
      </c>
      <c r="P155" s="7">
        <f>F155/$F$306</f>
        <v>0.20040248197216165</v>
      </c>
      <c r="Q155" s="7">
        <f>I155/$I$306</f>
        <v>0.21875</v>
      </c>
      <c r="R155" s="7">
        <f t="shared" si="61"/>
        <v>1</v>
      </c>
    </row>
    <row r="156" spans="1:18" x14ac:dyDescent="0.3">
      <c r="A156" s="1" t="s">
        <v>99</v>
      </c>
      <c r="B156" s="1" t="s">
        <v>26</v>
      </c>
      <c r="C156" s="1" t="s">
        <v>83</v>
      </c>
      <c r="D156" s="1">
        <v>37</v>
      </c>
      <c r="E156" s="1">
        <v>21</v>
      </c>
      <c r="F156" s="1">
        <v>2122</v>
      </c>
      <c r="G156" s="1">
        <v>8</v>
      </c>
      <c r="H156" s="1">
        <v>4</v>
      </c>
      <c r="I156" s="1">
        <f t="shared" si="54"/>
        <v>12</v>
      </c>
      <c r="J156" s="1">
        <f t="shared" si="29"/>
        <v>8</v>
      </c>
      <c r="K156" s="1">
        <v>0</v>
      </c>
      <c r="L156" s="1">
        <v>0</v>
      </c>
      <c r="M156" s="10">
        <f t="shared" si="32"/>
        <v>8.8888888888888892E-2</v>
      </c>
      <c r="N156" s="10">
        <f t="shared" si="33"/>
        <v>4.4444444444444446E-2</v>
      </c>
      <c r="O156" s="10">
        <f t="shared" si="27"/>
        <v>0.13333333333333333</v>
      </c>
      <c r="P156" s="7">
        <f>F156/$F$306</f>
        <v>0.1779305718598021</v>
      </c>
      <c r="Q156" s="7">
        <f>I156/$I$306</f>
        <v>0.1875</v>
      </c>
    </row>
    <row r="157" spans="1:18" x14ac:dyDescent="0.3">
      <c r="A157" s="1" t="s">
        <v>99</v>
      </c>
      <c r="B157" s="1" t="s">
        <v>26</v>
      </c>
      <c r="C157" s="1" t="s">
        <v>59</v>
      </c>
      <c r="D157" s="1">
        <v>27</v>
      </c>
      <c r="E157" s="1">
        <v>21</v>
      </c>
      <c r="F157" s="1">
        <v>1790</v>
      </c>
      <c r="G157" s="1">
        <v>3</v>
      </c>
      <c r="H157" s="1">
        <v>4</v>
      </c>
      <c r="I157" s="1">
        <f t="shared" si="54"/>
        <v>7</v>
      </c>
      <c r="J157" s="1">
        <f t="shared" si="29"/>
        <v>3</v>
      </c>
      <c r="K157" s="1">
        <v>0</v>
      </c>
      <c r="L157" s="1">
        <v>0</v>
      </c>
      <c r="M157" s="10">
        <f t="shared" si="32"/>
        <v>3.3333333333333333E-2</v>
      </c>
      <c r="N157" s="10">
        <f t="shared" si="33"/>
        <v>4.4444444444444446E-2</v>
      </c>
      <c r="O157" s="10">
        <f t="shared" si="27"/>
        <v>7.7777777777777779E-2</v>
      </c>
      <c r="P157" s="7">
        <f>F157/$F$306</f>
        <v>0.15009223545195371</v>
      </c>
      <c r="Q157" s="7">
        <f>I157/$I$306</f>
        <v>0.109375</v>
      </c>
    </row>
    <row r="158" spans="1:18" x14ac:dyDescent="0.3">
      <c r="A158" s="3" t="s">
        <v>99</v>
      </c>
      <c r="B158" s="3" t="s">
        <v>32</v>
      </c>
      <c r="C158" s="3" t="s">
        <v>37</v>
      </c>
      <c r="D158" s="3">
        <v>50</v>
      </c>
      <c r="E158" s="3">
        <v>46</v>
      </c>
      <c r="F158" s="3">
        <v>3941</v>
      </c>
      <c r="G158" s="3">
        <v>13</v>
      </c>
      <c r="H158" s="3">
        <v>7</v>
      </c>
      <c r="I158" s="3">
        <f t="shared" si="54"/>
        <v>20</v>
      </c>
      <c r="J158" s="3">
        <f t="shared" si="29"/>
        <v>13</v>
      </c>
      <c r="K158" s="3">
        <v>0</v>
      </c>
      <c r="L158" s="3">
        <v>0</v>
      </c>
      <c r="M158" s="4">
        <f t="shared" si="32"/>
        <v>0.14444444444444443</v>
      </c>
      <c r="N158" s="4">
        <f t="shared" si="33"/>
        <v>7.7777777777777779E-2</v>
      </c>
      <c r="O158" s="4">
        <f t="shared" si="27"/>
        <v>0.22222222222222221</v>
      </c>
      <c r="P158" s="5">
        <f t="shared" ref="P158:P165" si="62">F158/$F$307</f>
        <v>0.2020714761831513</v>
      </c>
      <c r="Q158" s="5">
        <f t="shared" ref="Q158:Q165" si="63">I158/$I$307</f>
        <v>0.13793103448275862</v>
      </c>
      <c r="R158" s="3"/>
    </row>
    <row r="159" spans="1:18" x14ac:dyDescent="0.3">
      <c r="A159" s="3" t="s">
        <v>99</v>
      </c>
      <c r="B159" s="3" t="s">
        <v>32</v>
      </c>
      <c r="C159" s="3" t="s">
        <v>84</v>
      </c>
      <c r="D159" s="3">
        <v>45</v>
      </c>
      <c r="E159" s="3">
        <v>36</v>
      </c>
      <c r="F159" s="3">
        <v>3210</v>
      </c>
      <c r="G159" s="3">
        <v>14</v>
      </c>
      <c r="H159" s="3">
        <v>11</v>
      </c>
      <c r="I159" s="3">
        <f t="shared" si="54"/>
        <v>25</v>
      </c>
      <c r="J159" s="3">
        <f t="shared" si="29"/>
        <v>14</v>
      </c>
      <c r="K159" s="3">
        <v>0</v>
      </c>
      <c r="L159" s="3">
        <v>0</v>
      </c>
      <c r="M159" s="4">
        <f t="shared" si="32"/>
        <v>0.15555555555555556</v>
      </c>
      <c r="N159" s="4">
        <f t="shared" si="33"/>
        <v>0.12222222222222222</v>
      </c>
      <c r="O159" s="4">
        <f t="shared" si="27"/>
        <v>0.27777777777777779</v>
      </c>
      <c r="P159" s="5">
        <f t="shared" si="62"/>
        <v>0.16459006306722043</v>
      </c>
      <c r="Q159" s="5">
        <f t="shared" si="63"/>
        <v>0.17241379310344829</v>
      </c>
      <c r="R159" s="3"/>
    </row>
    <row r="160" spans="1:18" x14ac:dyDescent="0.3">
      <c r="A160" s="3" t="s">
        <v>99</v>
      </c>
      <c r="B160" s="3" t="s">
        <v>32</v>
      </c>
      <c r="C160" s="3" t="s">
        <v>33</v>
      </c>
      <c r="D160" s="3">
        <v>47</v>
      </c>
      <c r="E160" s="3">
        <v>32</v>
      </c>
      <c r="F160" s="3">
        <v>3126</v>
      </c>
      <c r="G160" s="3">
        <v>17</v>
      </c>
      <c r="H160" s="3">
        <v>8</v>
      </c>
      <c r="I160" s="3">
        <f t="shared" si="54"/>
        <v>25</v>
      </c>
      <c r="J160" s="3">
        <f t="shared" si="29"/>
        <v>15</v>
      </c>
      <c r="K160" s="3">
        <v>2</v>
      </c>
      <c r="L160" s="3">
        <v>3</v>
      </c>
      <c r="M160" s="4">
        <f t="shared" si="32"/>
        <v>0.18888888888888888</v>
      </c>
      <c r="N160" s="4">
        <f t="shared" si="33"/>
        <v>8.8888888888888892E-2</v>
      </c>
      <c r="O160" s="4">
        <f t="shared" si="27"/>
        <v>0.27777777777777779</v>
      </c>
      <c r="P160" s="5">
        <f t="shared" si="62"/>
        <v>0.16028303337948008</v>
      </c>
      <c r="Q160" s="5">
        <f t="shared" si="63"/>
        <v>0.17241379310344829</v>
      </c>
      <c r="R160" s="5">
        <f>K160/L160</f>
        <v>0.66666666666666663</v>
      </c>
    </row>
    <row r="161" spans="1:18" x14ac:dyDescent="0.3">
      <c r="A161" s="3" t="s">
        <v>99</v>
      </c>
      <c r="B161" s="3" t="s">
        <v>32</v>
      </c>
      <c r="C161" s="3" t="s">
        <v>60</v>
      </c>
      <c r="D161" s="3">
        <v>47</v>
      </c>
      <c r="E161" s="3">
        <v>31</v>
      </c>
      <c r="F161" s="3">
        <v>2934</v>
      </c>
      <c r="G161" s="3">
        <v>24</v>
      </c>
      <c r="H161" s="3">
        <v>9</v>
      </c>
      <c r="I161" s="3">
        <f t="shared" ref="I161:I192" si="64">SUM(G161,H161)</f>
        <v>33</v>
      </c>
      <c r="J161" s="3">
        <f t="shared" si="29"/>
        <v>17</v>
      </c>
      <c r="K161" s="3">
        <v>7</v>
      </c>
      <c r="L161" s="3">
        <v>8</v>
      </c>
      <c r="M161" s="4">
        <f t="shared" si="32"/>
        <v>0.26666666666666666</v>
      </c>
      <c r="N161" s="4">
        <f t="shared" si="33"/>
        <v>0.1</v>
      </c>
      <c r="O161" s="4">
        <f t="shared" si="27"/>
        <v>0.36666666666666664</v>
      </c>
      <c r="P161" s="5">
        <f t="shared" si="62"/>
        <v>0.15043839409321644</v>
      </c>
      <c r="Q161" s="5">
        <f t="shared" si="63"/>
        <v>0.22758620689655173</v>
      </c>
      <c r="R161" s="5">
        <f t="shared" ref="R161:R163" si="65">K161/L161</f>
        <v>0.875</v>
      </c>
    </row>
    <row r="162" spans="1:18" x14ac:dyDescent="0.3">
      <c r="A162" s="3" t="s">
        <v>99</v>
      </c>
      <c r="B162" s="3" t="s">
        <v>32</v>
      </c>
      <c r="C162" s="3" t="s">
        <v>102</v>
      </c>
      <c r="D162" s="3">
        <v>39</v>
      </c>
      <c r="E162" s="3">
        <v>31</v>
      </c>
      <c r="F162" s="3">
        <v>2757</v>
      </c>
      <c r="G162" s="3">
        <v>6</v>
      </c>
      <c r="H162" s="3">
        <v>4</v>
      </c>
      <c r="I162" s="3">
        <f t="shared" si="64"/>
        <v>10</v>
      </c>
      <c r="J162" s="3">
        <f t="shared" si="29"/>
        <v>6</v>
      </c>
      <c r="K162" s="3">
        <v>0</v>
      </c>
      <c r="L162" s="3">
        <v>0</v>
      </c>
      <c r="M162" s="4">
        <f t="shared" si="32"/>
        <v>6.6666666666666666E-2</v>
      </c>
      <c r="N162" s="4">
        <f t="shared" si="33"/>
        <v>4.4444444444444446E-2</v>
      </c>
      <c r="O162" s="4">
        <f t="shared" si="27"/>
        <v>0.1111111111111111</v>
      </c>
      <c r="P162" s="5">
        <f t="shared" si="62"/>
        <v>0.14136286725119213</v>
      </c>
      <c r="Q162" s="5">
        <f t="shared" si="63"/>
        <v>6.8965517241379309E-2</v>
      </c>
      <c r="R162" s="5"/>
    </row>
    <row r="163" spans="1:18" x14ac:dyDescent="0.3">
      <c r="A163" s="3" t="s">
        <v>99</v>
      </c>
      <c r="B163" s="3" t="s">
        <v>32</v>
      </c>
      <c r="C163" s="3" t="s">
        <v>36</v>
      </c>
      <c r="D163" s="3">
        <v>41</v>
      </c>
      <c r="E163" s="3">
        <v>28</v>
      </c>
      <c r="F163" s="3">
        <v>2601</v>
      </c>
      <c r="G163" s="3">
        <v>13</v>
      </c>
      <c r="H163" s="3">
        <v>11</v>
      </c>
      <c r="I163" s="3">
        <f t="shared" si="64"/>
        <v>24</v>
      </c>
      <c r="J163" s="3">
        <f t="shared" si="29"/>
        <v>12</v>
      </c>
      <c r="K163" s="3">
        <v>1</v>
      </c>
      <c r="L163" s="3">
        <v>2</v>
      </c>
      <c r="M163" s="4">
        <f t="shared" si="32"/>
        <v>0.14444444444444443</v>
      </c>
      <c r="N163" s="4">
        <f t="shared" si="33"/>
        <v>0.12222222222222222</v>
      </c>
      <c r="O163" s="4">
        <f t="shared" si="27"/>
        <v>0.26666666666666666</v>
      </c>
      <c r="P163" s="5">
        <f t="shared" si="62"/>
        <v>0.1333640978311029</v>
      </c>
      <c r="Q163" s="5">
        <f t="shared" si="63"/>
        <v>0.16551724137931034</v>
      </c>
      <c r="R163" s="5">
        <f t="shared" si="65"/>
        <v>0.5</v>
      </c>
    </row>
    <row r="164" spans="1:18" x14ac:dyDescent="0.3">
      <c r="A164" s="3" t="s">
        <v>99</v>
      </c>
      <c r="B164" s="3" t="s">
        <v>32</v>
      </c>
      <c r="C164" s="3" t="s">
        <v>95</v>
      </c>
      <c r="D164" s="3">
        <v>7</v>
      </c>
      <c r="E164" s="3">
        <v>7</v>
      </c>
      <c r="F164" s="3">
        <v>517</v>
      </c>
      <c r="G164" s="3">
        <v>3</v>
      </c>
      <c r="H164" s="3">
        <v>1</v>
      </c>
      <c r="I164" s="3">
        <f t="shared" si="64"/>
        <v>4</v>
      </c>
      <c r="J164" s="3">
        <f t="shared" si="29"/>
        <v>3</v>
      </c>
      <c r="K164" s="3">
        <v>0</v>
      </c>
      <c r="L164" s="3">
        <v>0</v>
      </c>
      <c r="M164" s="4">
        <f t="shared" si="32"/>
        <v>3.3333333333333333E-2</v>
      </c>
      <c r="N164" s="4">
        <f t="shared" si="33"/>
        <v>1.1111111111111112E-2</v>
      </c>
      <c r="O164" s="4">
        <f t="shared" si="27"/>
        <v>4.4444444444444446E-2</v>
      </c>
      <c r="P164" s="5">
        <f t="shared" si="62"/>
        <v>2.6508742244782856E-2</v>
      </c>
      <c r="Q164" s="5">
        <f t="shared" si="63"/>
        <v>2.7586206896551724E-2</v>
      </c>
      <c r="R164" s="3"/>
    </row>
    <row r="165" spans="1:18" x14ac:dyDescent="0.3">
      <c r="A165" s="3" t="s">
        <v>99</v>
      </c>
      <c r="B165" s="3" t="s">
        <v>32</v>
      </c>
      <c r="C165" s="3" t="s">
        <v>103</v>
      </c>
      <c r="D165" s="3">
        <v>11</v>
      </c>
      <c r="E165" s="3">
        <v>4</v>
      </c>
      <c r="F165" s="3">
        <v>417</v>
      </c>
      <c r="G165" s="3">
        <v>3</v>
      </c>
      <c r="H165" s="3">
        <v>1</v>
      </c>
      <c r="I165" s="3">
        <f t="shared" si="64"/>
        <v>4</v>
      </c>
      <c r="J165" s="3">
        <f t="shared" si="29"/>
        <v>3</v>
      </c>
      <c r="K165" s="3">
        <v>0</v>
      </c>
      <c r="L165" s="3">
        <v>0</v>
      </c>
      <c r="M165" s="4">
        <f t="shared" si="32"/>
        <v>3.3333333333333333E-2</v>
      </c>
      <c r="N165" s="4">
        <f t="shared" si="33"/>
        <v>1.1111111111111112E-2</v>
      </c>
      <c r="O165" s="4">
        <f t="shared" si="27"/>
        <v>4.4444444444444446E-2</v>
      </c>
      <c r="P165" s="5">
        <f t="shared" si="62"/>
        <v>2.1381325949853869E-2</v>
      </c>
      <c r="Q165" s="5">
        <f t="shared" si="63"/>
        <v>2.7586206896551724E-2</v>
      </c>
      <c r="R165" s="3"/>
    </row>
    <row r="166" spans="1:18" x14ac:dyDescent="0.3">
      <c r="A166" s="1" t="s">
        <v>99</v>
      </c>
      <c r="B166" s="1" t="s">
        <v>38</v>
      </c>
      <c r="C166" s="1" t="s">
        <v>104</v>
      </c>
      <c r="D166" s="1">
        <v>38</v>
      </c>
      <c r="E166" s="1">
        <v>35</v>
      </c>
      <c r="F166" s="1">
        <v>3186</v>
      </c>
      <c r="G166" s="1">
        <v>24</v>
      </c>
      <c r="H166" s="1">
        <v>3</v>
      </c>
      <c r="I166" s="1">
        <f t="shared" si="64"/>
        <v>27</v>
      </c>
      <c r="J166" s="1">
        <f t="shared" si="29"/>
        <v>21</v>
      </c>
      <c r="K166" s="1">
        <v>3</v>
      </c>
      <c r="L166" s="1">
        <v>4</v>
      </c>
      <c r="M166" s="10">
        <f t="shared" si="32"/>
        <v>0.26666666666666666</v>
      </c>
      <c r="N166" s="10">
        <f t="shared" si="33"/>
        <v>3.3333333333333333E-2</v>
      </c>
      <c r="O166" s="10">
        <f t="shared" si="27"/>
        <v>0.3</v>
      </c>
      <c r="P166" s="7">
        <f>F166/$F$308</f>
        <v>0.35797752808988764</v>
      </c>
      <c r="Q166" s="7">
        <f>I166/$I$308</f>
        <v>0.54</v>
      </c>
      <c r="R166" s="7">
        <f>K166/L166</f>
        <v>0.75</v>
      </c>
    </row>
    <row r="167" spans="1:18" x14ac:dyDescent="0.3">
      <c r="A167" s="1" t="s">
        <v>99</v>
      </c>
      <c r="B167" s="1" t="s">
        <v>38</v>
      </c>
      <c r="C167" s="1" t="s">
        <v>86</v>
      </c>
      <c r="D167" s="1">
        <v>24</v>
      </c>
      <c r="E167" s="1">
        <v>20</v>
      </c>
      <c r="F167" s="1">
        <v>1693</v>
      </c>
      <c r="G167" s="1">
        <v>6</v>
      </c>
      <c r="H167" s="1">
        <v>2</v>
      </c>
      <c r="I167" s="1">
        <f t="shared" si="64"/>
        <v>8</v>
      </c>
      <c r="J167" s="1">
        <f t="shared" si="29"/>
        <v>6</v>
      </c>
      <c r="K167" s="1">
        <v>0</v>
      </c>
      <c r="L167" s="1">
        <v>0</v>
      </c>
      <c r="M167" s="10">
        <f t="shared" si="32"/>
        <v>6.6666666666666666E-2</v>
      </c>
      <c r="N167" s="10">
        <f t="shared" si="33"/>
        <v>2.2222222222222223E-2</v>
      </c>
      <c r="O167" s="10">
        <f t="shared" si="27"/>
        <v>8.8888888888888892E-2</v>
      </c>
      <c r="P167" s="7">
        <f t="shared" ref="P167:P170" si="66">F167/$F$308</f>
        <v>0.1902247191011236</v>
      </c>
      <c r="Q167" s="7">
        <f t="shared" ref="Q167:Q170" si="67">I167/$I$308</f>
        <v>0.16</v>
      </c>
    </row>
    <row r="168" spans="1:18" x14ac:dyDescent="0.3">
      <c r="A168" s="1" t="s">
        <v>99</v>
      </c>
      <c r="B168" s="1" t="s">
        <v>38</v>
      </c>
      <c r="C168" s="1" t="s">
        <v>40</v>
      </c>
      <c r="D168" s="1">
        <v>32</v>
      </c>
      <c r="E168" s="1">
        <v>18</v>
      </c>
      <c r="F168" s="1">
        <v>1657</v>
      </c>
      <c r="G168" s="1">
        <v>5</v>
      </c>
      <c r="H168" s="1">
        <v>2</v>
      </c>
      <c r="I168" s="1">
        <f t="shared" si="64"/>
        <v>7</v>
      </c>
      <c r="J168" s="1">
        <f t="shared" si="29"/>
        <v>5</v>
      </c>
      <c r="K168" s="1">
        <v>0</v>
      </c>
      <c r="L168" s="1">
        <v>0</v>
      </c>
      <c r="M168" s="10">
        <f t="shared" si="32"/>
        <v>5.5555555555555552E-2</v>
      </c>
      <c r="N168" s="10">
        <f t="shared" si="33"/>
        <v>2.2222222222222223E-2</v>
      </c>
      <c r="O168" s="10">
        <f t="shared" si="27"/>
        <v>7.7777777777777779E-2</v>
      </c>
      <c r="P168" s="7">
        <f t="shared" si="66"/>
        <v>0.18617977528089888</v>
      </c>
      <c r="Q168" s="7">
        <f t="shared" si="67"/>
        <v>0.14000000000000001</v>
      </c>
    </row>
    <row r="169" spans="1:18" x14ac:dyDescent="0.3">
      <c r="A169" s="1" t="s">
        <v>99</v>
      </c>
      <c r="B169" s="1" t="s">
        <v>38</v>
      </c>
      <c r="C169" s="1" t="s">
        <v>105</v>
      </c>
      <c r="D169" s="1">
        <v>27</v>
      </c>
      <c r="E169" s="1">
        <v>16</v>
      </c>
      <c r="F169" s="1">
        <v>1448</v>
      </c>
      <c r="G169" s="1">
        <v>3</v>
      </c>
      <c r="H169" s="1">
        <v>2</v>
      </c>
      <c r="I169" s="1">
        <f t="shared" si="64"/>
        <v>5</v>
      </c>
      <c r="J169" s="1">
        <f t="shared" si="29"/>
        <v>3</v>
      </c>
      <c r="K169" s="1">
        <v>0</v>
      </c>
      <c r="L169" s="1">
        <v>0</v>
      </c>
      <c r="M169" s="10">
        <f t="shared" si="32"/>
        <v>3.3333333333333333E-2</v>
      </c>
      <c r="N169" s="10">
        <f t="shared" si="33"/>
        <v>2.2222222222222223E-2</v>
      </c>
      <c r="O169" s="10">
        <f t="shared" si="27"/>
        <v>5.5555555555555552E-2</v>
      </c>
      <c r="P169" s="7">
        <f t="shared" si="66"/>
        <v>0.16269662921348316</v>
      </c>
      <c r="Q169" s="7">
        <f t="shared" si="67"/>
        <v>0.1</v>
      </c>
    </row>
    <row r="170" spans="1:18" x14ac:dyDescent="0.3">
      <c r="A170" s="1" t="s">
        <v>99</v>
      </c>
      <c r="B170" s="1" t="s">
        <v>38</v>
      </c>
      <c r="C170" s="1" t="s">
        <v>96</v>
      </c>
      <c r="D170" s="1">
        <v>20</v>
      </c>
      <c r="E170" s="1">
        <v>8</v>
      </c>
      <c r="F170" s="1">
        <v>916</v>
      </c>
      <c r="G170" s="1">
        <v>2</v>
      </c>
      <c r="H170" s="1">
        <v>1</v>
      </c>
      <c r="I170" s="1">
        <f t="shared" si="64"/>
        <v>3</v>
      </c>
      <c r="J170" s="1">
        <f t="shared" si="29"/>
        <v>2</v>
      </c>
      <c r="K170" s="1">
        <v>0</v>
      </c>
      <c r="L170" s="1">
        <v>0</v>
      </c>
      <c r="M170" s="10">
        <f t="shared" si="32"/>
        <v>2.2222222222222223E-2</v>
      </c>
      <c r="N170" s="10">
        <f t="shared" si="33"/>
        <v>1.1111111111111112E-2</v>
      </c>
      <c r="O170" s="10">
        <f t="shared" si="27"/>
        <v>3.3333333333333333E-2</v>
      </c>
      <c r="P170" s="7">
        <f t="shared" si="66"/>
        <v>0.10292134831460674</v>
      </c>
      <c r="Q170" s="7">
        <f t="shared" si="67"/>
        <v>0.06</v>
      </c>
    </row>
    <row r="171" spans="1:18" x14ac:dyDescent="0.3">
      <c r="A171" s="3" t="s">
        <v>99</v>
      </c>
      <c r="B171" s="3" t="s">
        <v>46</v>
      </c>
      <c r="C171" s="3" t="s">
        <v>47</v>
      </c>
      <c r="D171" s="3">
        <v>49</v>
      </c>
      <c r="E171" s="3">
        <v>46</v>
      </c>
      <c r="F171" s="3">
        <v>4209</v>
      </c>
      <c r="G171" s="3">
        <v>25</v>
      </c>
      <c r="H171" s="3">
        <v>10</v>
      </c>
      <c r="I171" s="3">
        <f t="shared" si="64"/>
        <v>35</v>
      </c>
      <c r="J171" s="3">
        <f t="shared" si="29"/>
        <v>21</v>
      </c>
      <c r="K171" s="3">
        <v>4</v>
      </c>
      <c r="L171" s="3">
        <v>4</v>
      </c>
      <c r="M171" s="4">
        <f t="shared" si="32"/>
        <v>0.27777777777777779</v>
      </c>
      <c r="N171" s="4">
        <f t="shared" si="33"/>
        <v>0.1111111111111111</v>
      </c>
      <c r="O171" s="4">
        <f t="shared" si="27"/>
        <v>0.3888888888888889</v>
      </c>
      <c r="P171" s="5">
        <f>F171/$F$309</f>
        <v>0.31457399103139011</v>
      </c>
      <c r="Q171" s="5">
        <f>I171/$I$309</f>
        <v>0.34313725490196079</v>
      </c>
      <c r="R171" s="5">
        <f>K171/L171</f>
        <v>1</v>
      </c>
    </row>
    <row r="172" spans="1:18" x14ac:dyDescent="0.3">
      <c r="A172" s="3" t="s">
        <v>99</v>
      </c>
      <c r="B172" s="3" t="s">
        <v>46</v>
      </c>
      <c r="C172" s="3" t="s">
        <v>49</v>
      </c>
      <c r="D172" s="3">
        <v>44</v>
      </c>
      <c r="E172" s="3">
        <v>39</v>
      </c>
      <c r="F172" s="3">
        <v>3526</v>
      </c>
      <c r="G172" s="3">
        <v>24</v>
      </c>
      <c r="H172" s="3">
        <v>8</v>
      </c>
      <c r="I172" s="3">
        <f t="shared" si="64"/>
        <v>32</v>
      </c>
      <c r="J172" s="3">
        <f t="shared" si="29"/>
        <v>24</v>
      </c>
      <c r="K172" s="3">
        <v>0</v>
      </c>
      <c r="L172" s="3">
        <v>0</v>
      </c>
      <c r="M172" s="4">
        <f t="shared" si="32"/>
        <v>0.26666666666666666</v>
      </c>
      <c r="N172" s="4">
        <f t="shared" si="33"/>
        <v>8.8888888888888892E-2</v>
      </c>
      <c r="O172" s="4">
        <f t="shared" si="27"/>
        <v>0.35555555555555557</v>
      </c>
      <c r="P172" s="5">
        <f t="shared" ref="P172:P176" si="68">F172/$F$309</f>
        <v>0.26352765321375188</v>
      </c>
      <c r="Q172" s="5">
        <f t="shared" ref="Q172:Q176" si="69">I172/$I$309</f>
        <v>0.31372549019607843</v>
      </c>
      <c r="R172" s="5"/>
    </row>
    <row r="173" spans="1:18" x14ac:dyDescent="0.3">
      <c r="A173" s="3" t="s">
        <v>99</v>
      </c>
      <c r="B173" s="3" t="s">
        <v>46</v>
      </c>
      <c r="C173" s="3" t="s">
        <v>51</v>
      </c>
      <c r="D173" s="3">
        <v>44</v>
      </c>
      <c r="E173" s="3">
        <v>25</v>
      </c>
      <c r="F173" s="3">
        <v>2352</v>
      </c>
      <c r="G173" s="3">
        <v>6</v>
      </c>
      <c r="H173" s="3">
        <v>8</v>
      </c>
      <c r="I173" s="3">
        <f t="shared" si="64"/>
        <v>14</v>
      </c>
      <c r="J173" s="3">
        <f t="shared" si="29"/>
        <v>6</v>
      </c>
      <c r="K173" s="3">
        <v>0</v>
      </c>
      <c r="L173" s="3">
        <v>0</v>
      </c>
      <c r="M173" s="4">
        <f t="shared" si="32"/>
        <v>6.6666666666666666E-2</v>
      </c>
      <c r="N173" s="4">
        <f t="shared" si="33"/>
        <v>8.8888888888888892E-2</v>
      </c>
      <c r="O173" s="4">
        <f t="shared" si="27"/>
        <v>0.15555555555555556</v>
      </c>
      <c r="P173" s="5">
        <f t="shared" si="68"/>
        <v>0.17578475336322871</v>
      </c>
      <c r="Q173" s="5">
        <f t="shared" si="69"/>
        <v>0.13725490196078433</v>
      </c>
      <c r="R173" s="5"/>
    </row>
    <row r="174" spans="1:18" x14ac:dyDescent="0.3">
      <c r="A174" s="3" t="s">
        <v>99</v>
      </c>
      <c r="B174" s="3" t="s">
        <v>46</v>
      </c>
      <c r="C174" s="3" t="s">
        <v>106</v>
      </c>
      <c r="D174" s="3">
        <v>20</v>
      </c>
      <c r="E174" s="3">
        <v>15</v>
      </c>
      <c r="F174" s="3">
        <v>1388</v>
      </c>
      <c r="G174" s="3">
        <v>5</v>
      </c>
      <c r="H174" s="3">
        <v>8</v>
      </c>
      <c r="I174" s="3">
        <f t="shared" si="64"/>
        <v>13</v>
      </c>
      <c r="J174" s="3">
        <f t="shared" si="29"/>
        <v>5</v>
      </c>
      <c r="K174" s="3">
        <v>0</v>
      </c>
      <c r="L174" s="3">
        <v>0</v>
      </c>
      <c r="M174" s="4">
        <f t="shared" si="32"/>
        <v>5.5555555555555552E-2</v>
      </c>
      <c r="N174" s="4">
        <f t="shared" si="33"/>
        <v>8.8888888888888892E-2</v>
      </c>
      <c r="O174" s="4">
        <f t="shared" si="27"/>
        <v>0.14444444444444443</v>
      </c>
      <c r="P174" s="5">
        <f t="shared" si="68"/>
        <v>0.10373692077727951</v>
      </c>
      <c r="Q174" s="5">
        <f t="shared" si="69"/>
        <v>0.12745098039215685</v>
      </c>
      <c r="R174" s="5"/>
    </row>
    <row r="175" spans="1:18" x14ac:dyDescent="0.3">
      <c r="A175" s="3" t="s">
        <v>99</v>
      </c>
      <c r="B175" s="3" t="s">
        <v>46</v>
      </c>
      <c r="C175" s="3" t="s">
        <v>48</v>
      </c>
      <c r="D175" s="3">
        <v>17</v>
      </c>
      <c r="E175" s="3">
        <v>13</v>
      </c>
      <c r="F175" s="3">
        <v>1034</v>
      </c>
      <c r="G175" s="3">
        <v>2</v>
      </c>
      <c r="H175" s="3">
        <v>1</v>
      </c>
      <c r="I175" s="3">
        <f t="shared" si="64"/>
        <v>3</v>
      </c>
      <c r="J175" s="3">
        <f t="shared" si="29"/>
        <v>0</v>
      </c>
      <c r="K175" s="3">
        <v>2</v>
      </c>
      <c r="L175" s="3">
        <v>2</v>
      </c>
      <c r="M175" s="4">
        <f t="shared" si="32"/>
        <v>2.2222222222222223E-2</v>
      </c>
      <c r="N175" s="4">
        <f t="shared" si="33"/>
        <v>1.1111111111111112E-2</v>
      </c>
      <c r="O175" s="4">
        <f t="shared" si="27"/>
        <v>3.3333333333333333E-2</v>
      </c>
      <c r="P175" s="5">
        <f t="shared" si="68"/>
        <v>7.7279521674140511E-2</v>
      </c>
      <c r="Q175" s="5">
        <f t="shared" si="69"/>
        <v>2.9411764705882353E-2</v>
      </c>
      <c r="R175" s="5">
        <f>K175/L175</f>
        <v>1</v>
      </c>
    </row>
    <row r="176" spans="1:18" x14ac:dyDescent="0.3">
      <c r="A176" s="3" t="s">
        <v>99</v>
      </c>
      <c r="B176" s="3" t="s">
        <v>46</v>
      </c>
      <c r="C176" s="3" t="s">
        <v>98</v>
      </c>
      <c r="D176" s="3">
        <v>31</v>
      </c>
      <c r="E176" s="3">
        <v>8</v>
      </c>
      <c r="F176" s="3">
        <v>871</v>
      </c>
      <c r="G176" s="3">
        <v>4</v>
      </c>
      <c r="H176" s="3">
        <v>1</v>
      </c>
      <c r="I176" s="3">
        <f t="shared" si="64"/>
        <v>5</v>
      </c>
      <c r="J176" s="3">
        <f t="shared" si="29"/>
        <v>4</v>
      </c>
      <c r="K176" s="3">
        <v>0</v>
      </c>
      <c r="L176" s="3">
        <v>0</v>
      </c>
      <c r="M176" s="4">
        <f t="shared" si="32"/>
        <v>4.4444444444444446E-2</v>
      </c>
      <c r="N176" s="4">
        <f t="shared" si="33"/>
        <v>1.1111111111111112E-2</v>
      </c>
      <c r="O176" s="4">
        <f t="shared" si="27"/>
        <v>5.5555555555555552E-2</v>
      </c>
      <c r="P176" s="5">
        <f t="shared" si="68"/>
        <v>6.5097159940209273E-2</v>
      </c>
      <c r="Q176" s="5">
        <f t="shared" si="69"/>
        <v>4.9019607843137254E-2</v>
      </c>
      <c r="R176" s="3"/>
    </row>
    <row r="177" spans="1:18" x14ac:dyDescent="0.3">
      <c r="A177" s="1" t="s">
        <v>107</v>
      </c>
      <c r="B177" s="1" t="s">
        <v>13</v>
      </c>
      <c r="C177" s="1" t="s">
        <v>15</v>
      </c>
      <c r="D177" s="1">
        <v>51</v>
      </c>
      <c r="E177" s="1">
        <v>48</v>
      </c>
      <c r="F177" s="1">
        <v>4292</v>
      </c>
      <c r="G177" s="1">
        <v>30</v>
      </c>
      <c r="H177" s="1">
        <v>16</v>
      </c>
      <c r="I177" s="1">
        <f t="shared" si="64"/>
        <v>46</v>
      </c>
      <c r="J177" s="1">
        <f t="shared" si="29"/>
        <v>26</v>
      </c>
      <c r="K177" s="1">
        <v>4</v>
      </c>
      <c r="L177" s="1">
        <v>6</v>
      </c>
      <c r="M177" s="10">
        <f t="shared" si="32"/>
        <v>0.33333333333333331</v>
      </c>
      <c r="N177" s="10">
        <f t="shared" si="33"/>
        <v>0.17777777777777778</v>
      </c>
      <c r="O177" s="10">
        <f t="shared" si="27"/>
        <v>0.51111111111111107</v>
      </c>
      <c r="P177" s="7">
        <f t="shared" ref="P177:P183" si="70">F177/$F$310</f>
        <v>0.31397220190197511</v>
      </c>
      <c r="Q177" s="7">
        <f t="shared" ref="Q177:Q183" si="71">I177/$I$310</f>
        <v>0.38983050847457629</v>
      </c>
      <c r="R177" s="7">
        <f>K177/L177</f>
        <v>0.66666666666666663</v>
      </c>
    </row>
    <row r="178" spans="1:18" x14ac:dyDescent="0.3">
      <c r="A178" s="1" t="s">
        <v>107</v>
      </c>
      <c r="B178" s="1" t="s">
        <v>13</v>
      </c>
      <c r="C178" s="1" t="s">
        <v>108</v>
      </c>
      <c r="D178" s="1">
        <v>42</v>
      </c>
      <c r="E178" s="1">
        <v>26</v>
      </c>
      <c r="F178" s="1">
        <v>2393</v>
      </c>
      <c r="G178" s="1">
        <v>15</v>
      </c>
      <c r="H178" s="1">
        <v>5</v>
      </c>
      <c r="I178" s="1">
        <f t="shared" si="64"/>
        <v>20</v>
      </c>
      <c r="J178" s="1">
        <f t="shared" si="29"/>
        <v>15</v>
      </c>
      <c r="K178" s="1">
        <v>0</v>
      </c>
      <c r="L178" s="1">
        <v>0</v>
      </c>
      <c r="M178" s="10">
        <f t="shared" si="32"/>
        <v>0.16666666666666666</v>
      </c>
      <c r="N178" s="10">
        <f t="shared" si="33"/>
        <v>5.5555555555555552E-2</v>
      </c>
      <c r="O178" s="10">
        <f t="shared" si="27"/>
        <v>0.22222222222222221</v>
      </c>
      <c r="P178" s="7">
        <f t="shared" si="70"/>
        <v>0.17505486466715436</v>
      </c>
      <c r="Q178" s="7">
        <f t="shared" si="71"/>
        <v>0.16949152542372881</v>
      </c>
    </row>
    <row r="179" spans="1:18" x14ac:dyDescent="0.3">
      <c r="A179" s="1" t="s">
        <v>107</v>
      </c>
      <c r="B179" s="1" t="s">
        <v>13</v>
      </c>
      <c r="C179" s="1" t="s">
        <v>109</v>
      </c>
      <c r="D179" s="1">
        <v>26</v>
      </c>
      <c r="E179" s="1">
        <v>22</v>
      </c>
      <c r="F179" s="1">
        <v>1848</v>
      </c>
      <c r="G179" s="1">
        <v>7</v>
      </c>
      <c r="H179" s="1">
        <v>2</v>
      </c>
      <c r="I179" s="1">
        <f t="shared" si="64"/>
        <v>9</v>
      </c>
      <c r="J179" s="1">
        <f t="shared" si="29"/>
        <v>7</v>
      </c>
      <c r="K179" s="1">
        <v>0</v>
      </c>
      <c r="L179" s="1">
        <v>0</v>
      </c>
      <c r="M179" s="10">
        <f t="shared" si="32"/>
        <v>7.7777777777777779E-2</v>
      </c>
      <c r="N179" s="10">
        <f t="shared" si="33"/>
        <v>2.2222222222222223E-2</v>
      </c>
      <c r="O179" s="10">
        <f t="shared" si="27"/>
        <v>0.1</v>
      </c>
      <c r="P179" s="7">
        <f t="shared" si="70"/>
        <v>0.1351865398683248</v>
      </c>
      <c r="Q179" s="7">
        <f t="shared" si="71"/>
        <v>7.6271186440677971E-2</v>
      </c>
    </row>
    <row r="180" spans="1:18" x14ac:dyDescent="0.3">
      <c r="A180" s="1" t="s">
        <v>107</v>
      </c>
      <c r="B180" s="1" t="s">
        <v>13</v>
      </c>
      <c r="C180" s="1" t="s">
        <v>14</v>
      </c>
      <c r="D180" s="1">
        <v>35</v>
      </c>
      <c r="E180" s="1">
        <v>18</v>
      </c>
      <c r="F180" s="1">
        <v>1743</v>
      </c>
      <c r="G180" s="1">
        <v>13</v>
      </c>
      <c r="H180" s="1">
        <v>5</v>
      </c>
      <c r="I180" s="1">
        <f t="shared" si="64"/>
        <v>18</v>
      </c>
      <c r="J180" s="1">
        <f t="shared" si="29"/>
        <v>13</v>
      </c>
      <c r="K180" s="1">
        <v>0</v>
      </c>
      <c r="L180" s="1">
        <v>0</v>
      </c>
      <c r="M180" s="10">
        <f t="shared" si="32"/>
        <v>0.14444444444444443</v>
      </c>
      <c r="N180" s="10">
        <f t="shared" si="33"/>
        <v>5.5555555555555552E-2</v>
      </c>
      <c r="O180" s="10">
        <f t="shared" si="27"/>
        <v>0.2</v>
      </c>
      <c r="P180" s="7">
        <f t="shared" si="70"/>
        <v>0.12750548646671545</v>
      </c>
      <c r="Q180" s="7">
        <f t="shared" si="71"/>
        <v>0.15254237288135594</v>
      </c>
    </row>
    <row r="181" spans="1:18" x14ac:dyDescent="0.3">
      <c r="A181" s="1" t="s">
        <v>107</v>
      </c>
      <c r="B181" s="1" t="s">
        <v>13</v>
      </c>
      <c r="C181" s="1" t="s">
        <v>89</v>
      </c>
      <c r="D181" s="1">
        <v>28</v>
      </c>
      <c r="E181" s="1">
        <v>15</v>
      </c>
      <c r="F181" s="1">
        <v>1394</v>
      </c>
      <c r="G181" s="1">
        <v>7</v>
      </c>
      <c r="H181" s="1">
        <v>8</v>
      </c>
      <c r="I181" s="1">
        <f t="shared" si="64"/>
        <v>15</v>
      </c>
      <c r="J181" s="1">
        <f t="shared" si="29"/>
        <v>7</v>
      </c>
      <c r="K181" s="1">
        <v>0</v>
      </c>
      <c r="L181" s="1">
        <v>0</v>
      </c>
      <c r="M181" s="10">
        <f t="shared" si="32"/>
        <v>7.7777777777777779E-2</v>
      </c>
      <c r="N181" s="10">
        <f t="shared" si="33"/>
        <v>8.8888888888888892E-2</v>
      </c>
      <c r="O181" s="10">
        <f t="shared" si="27"/>
        <v>0.16666666666666666</v>
      </c>
      <c r="P181" s="7">
        <f t="shared" si="70"/>
        <v>0.10197512801755669</v>
      </c>
      <c r="Q181" s="7">
        <f t="shared" si="71"/>
        <v>0.1271186440677966</v>
      </c>
    </row>
    <row r="182" spans="1:18" x14ac:dyDescent="0.3">
      <c r="A182" s="1" t="s">
        <v>107</v>
      </c>
      <c r="B182" s="1" t="s">
        <v>13</v>
      </c>
      <c r="C182" s="1" t="s">
        <v>100</v>
      </c>
      <c r="D182" s="1">
        <v>21</v>
      </c>
      <c r="E182" s="1">
        <v>15</v>
      </c>
      <c r="F182" s="1">
        <v>1354</v>
      </c>
      <c r="G182" s="1">
        <v>5</v>
      </c>
      <c r="H182" s="1">
        <v>2</v>
      </c>
      <c r="I182" s="1">
        <f t="shared" si="64"/>
        <v>7</v>
      </c>
      <c r="J182" s="1">
        <f t="shared" si="29"/>
        <v>5</v>
      </c>
      <c r="K182" s="1">
        <v>0</v>
      </c>
      <c r="L182" s="1">
        <v>0</v>
      </c>
      <c r="M182" s="10">
        <f t="shared" si="32"/>
        <v>5.5555555555555552E-2</v>
      </c>
      <c r="N182" s="10">
        <f t="shared" si="33"/>
        <v>2.2222222222222223E-2</v>
      </c>
      <c r="O182" s="10">
        <f t="shared" si="27"/>
        <v>7.7777777777777779E-2</v>
      </c>
      <c r="P182" s="7">
        <f t="shared" si="70"/>
        <v>9.9049012435991221E-2</v>
      </c>
      <c r="Q182" s="7">
        <f t="shared" si="71"/>
        <v>5.9322033898305086E-2</v>
      </c>
    </row>
    <row r="183" spans="1:18" x14ac:dyDescent="0.3">
      <c r="A183" s="1" t="s">
        <v>107</v>
      </c>
      <c r="B183" s="1" t="s">
        <v>13</v>
      </c>
      <c r="C183" s="1" t="s">
        <v>110</v>
      </c>
      <c r="D183" s="1">
        <v>21</v>
      </c>
      <c r="E183" s="1">
        <v>8</v>
      </c>
      <c r="F183" s="1">
        <v>646</v>
      </c>
      <c r="G183" s="1">
        <v>3</v>
      </c>
      <c r="H183" s="1">
        <v>0</v>
      </c>
      <c r="I183" s="1">
        <f t="shared" si="64"/>
        <v>3</v>
      </c>
      <c r="J183" s="1">
        <f t="shared" si="29"/>
        <v>3</v>
      </c>
      <c r="K183" s="1">
        <v>0</v>
      </c>
      <c r="L183" s="1">
        <v>0</v>
      </c>
      <c r="M183" s="10">
        <f t="shared" si="32"/>
        <v>3.3333333333333333E-2</v>
      </c>
      <c r="N183" s="10">
        <f t="shared" si="33"/>
        <v>0</v>
      </c>
      <c r="O183" s="10">
        <f t="shared" si="27"/>
        <v>3.3333333333333333E-2</v>
      </c>
      <c r="P183" s="7">
        <f t="shared" si="70"/>
        <v>4.7256766642282372E-2</v>
      </c>
      <c r="Q183" s="7">
        <f t="shared" si="71"/>
        <v>2.5423728813559324E-2</v>
      </c>
    </row>
    <row r="184" spans="1:18" x14ac:dyDescent="0.3">
      <c r="A184" s="3" t="s">
        <v>107</v>
      </c>
      <c r="B184" s="3" t="s">
        <v>20</v>
      </c>
      <c r="C184" s="3" t="s">
        <v>101</v>
      </c>
      <c r="D184" s="3">
        <v>48</v>
      </c>
      <c r="E184" s="3">
        <v>42</v>
      </c>
      <c r="F184" s="3">
        <v>3733</v>
      </c>
      <c r="G184" s="3">
        <v>15</v>
      </c>
      <c r="H184" s="3">
        <v>11</v>
      </c>
      <c r="I184" s="3">
        <f t="shared" si="64"/>
        <v>26</v>
      </c>
      <c r="J184" s="3">
        <f t="shared" si="29"/>
        <v>13</v>
      </c>
      <c r="K184" s="3">
        <v>2</v>
      </c>
      <c r="L184" s="3">
        <v>3</v>
      </c>
      <c r="M184" s="4">
        <f t="shared" si="32"/>
        <v>0.16666666666666666</v>
      </c>
      <c r="N184" s="4">
        <f t="shared" si="33"/>
        <v>0.12222222222222222</v>
      </c>
      <c r="O184" s="4">
        <f t="shared" si="27"/>
        <v>0.28888888888888886</v>
      </c>
      <c r="P184" s="5">
        <f t="shared" ref="P184:P189" si="72">F184/$F$311</f>
        <v>0.28616328095055577</v>
      </c>
      <c r="Q184" s="5">
        <f t="shared" ref="Q184:Q189" si="73">I184/$I$311</f>
        <v>0.27659574468085107</v>
      </c>
      <c r="R184" s="5">
        <f>K184/L184</f>
        <v>0.66666666666666663</v>
      </c>
    </row>
    <row r="185" spans="1:18" x14ac:dyDescent="0.3">
      <c r="A185" s="3" t="s">
        <v>107</v>
      </c>
      <c r="B185" s="3" t="s">
        <v>20</v>
      </c>
      <c r="C185" s="3" t="s">
        <v>91</v>
      </c>
      <c r="D185" s="3">
        <v>46</v>
      </c>
      <c r="E185" s="3">
        <v>40</v>
      </c>
      <c r="F185" s="3">
        <v>3427</v>
      </c>
      <c r="G185" s="3">
        <v>15</v>
      </c>
      <c r="H185" s="3">
        <v>7</v>
      </c>
      <c r="I185" s="3">
        <f t="shared" si="64"/>
        <v>22</v>
      </c>
      <c r="J185" s="3">
        <f t="shared" si="29"/>
        <v>15</v>
      </c>
      <c r="K185" s="3">
        <v>0</v>
      </c>
      <c r="L185" s="3">
        <v>0</v>
      </c>
      <c r="M185" s="4">
        <f t="shared" si="32"/>
        <v>0.16666666666666666</v>
      </c>
      <c r="N185" s="4">
        <f t="shared" si="33"/>
        <v>7.7777777777777779E-2</v>
      </c>
      <c r="O185" s="4">
        <f t="shared" si="27"/>
        <v>0.24444444444444444</v>
      </c>
      <c r="P185" s="5">
        <f t="shared" si="72"/>
        <v>0.26270601763127638</v>
      </c>
      <c r="Q185" s="5">
        <f t="shared" si="73"/>
        <v>0.23404255319148937</v>
      </c>
      <c r="R185" s="5"/>
    </row>
    <row r="186" spans="1:18" x14ac:dyDescent="0.3">
      <c r="A186" s="3" t="s">
        <v>107</v>
      </c>
      <c r="B186" s="3" t="s">
        <v>20</v>
      </c>
      <c r="C186" s="3" t="s">
        <v>36</v>
      </c>
      <c r="D186" s="3">
        <v>33</v>
      </c>
      <c r="E186" s="3">
        <v>27</v>
      </c>
      <c r="F186" s="3">
        <v>2337</v>
      </c>
      <c r="G186" s="3">
        <v>11</v>
      </c>
      <c r="H186" s="3">
        <v>7</v>
      </c>
      <c r="I186" s="3">
        <f t="shared" si="64"/>
        <v>18</v>
      </c>
      <c r="J186" s="3">
        <f t="shared" si="29"/>
        <v>10</v>
      </c>
      <c r="K186" s="3">
        <v>1</v>
      </c>
      <c r="L186" s="3">
        <v>1</v>
      </c>
      <c r="M186" s="4">
        <f t="shared" si="32"/>
        <v>0.12222222222222222</v>
      </c>
      <c r="N186" s="4">
        <f t="shared" si="33"/>
        <v>7.7777777777777779E-2</v>
      </c>
      <c r="O186" s="4">
        <f t="shared" si="27"/>
        <v>0.2</v>
      </c>
      <c r="P186" s="5">
        <f t="shared" si="72"/>
        <v>0.17914909927175163</v>
      </c>
      <c r="Q186" s="5">
        <f t="shared" si="73"/>
        <v>0.19148936170212766</v>
      </c>
      <c r="R186" s="5">
        <f t="shared" ref="R186" si="74">K186/L186</f>
        <v>1</v>
      </c>
    </row>
    <row r="187" spans="1:18" x14ac:dyDescent="0.3">
      <c r="A187" s="3" t="s">
        <v>107</v>
      </c>
      <c r="B187" s="3" t="s">
        <v>20</v>
      </c>
      <c r="C187" s="3" t="s">
        <v>25</v>
      </c>
      <c r="D187" s="3">
        <v>39</v>
      </c>
      <c r="E187" s="3">
        <v>18</v>
      </c>
      <c r="F187" s="3">
        <v>1877</v>
      </c>
      <c r="G187" s="3">
        <v>9</v>
      </c>
      <c r="H187" s="3">
        <v>2</v>
      </c>
      <c r="I187" s="3">
        <f t="shared" si="64"/>
        <v>11</v>
      </c>
      <c r="J187" s="3">
        <f t="shared" si="29"/>
        <v>9</v>
      </c>
      <c r="K187" s="3">
        <v>0</v>
      </c>
      <c r="L187" s="3">
        <v>0</v>
      </c>
      <c r="M187" s="4">
        <f t="shared" si="32"/>
        <v>0.1</v>
      </c>
      <c r="N187" s="4">
        <f t="shared" si="33"/>
        <v>2.2222222222222223E-2</v>
      </c>
      <c r="O187" s="4">
        <f t="shared" si="27"/>
        <v>0.12222222222222222</v>
      </c>
      <c r="P187" s="5">
        <f t="shared" si="72"/>
        <v>0.1438865465695669</v>
      </c>
      <c r="Q187" s="5">
        <f t="shared" si="73"/>
        <v>0.11702127659574468</v>
      </c>
      <c r="R187" s="3"/>
    </row>
    <row r="188" spans="1:18" x14ac:dyDescent="0.3">
      <c r="A188" s="3" t="s">
        <v>107</v>
      </c>
      <c r="B188" s="3" t="s">
        <v>20</v>
      </c>
      <c r="C188" s="3" t="s">
        <v>111</v>
      </c>
      <c r="D188" s="3">
        <v>22</v>
      </c>
      <c r="E188" s="3">
        <v>11</v>
      </c>
      <c r="F188" s="3">
        <v>1071</v>
      </c>
      <c r="G188" s="3">
        <v>1</v>
      </c>
      <c r="H188" s="3">
        <v>10</v>
      </c>
      <c r="I188" s="3">
        <f t="shared" si="64"/>
        <v>11</v>
      </c>
      <c r="J188" s="3">
        <f t="shared" si="29"/>
        <v>1</v>
      </c>
      <c r="K188" s="3">
        <v>0</v>
      </c>
      <c r="L188" s="3">
        <v>0</v>
      </c>
      <c r="M188" s="4">
        <f t="shared" si="32"/>
        <v>1.1111111111111112E-2</v>
      </c>
      <c r="N188" s="4">
        <f t="shared" si="33"/>
        <v>0.1111111111111111</v>
      </c>
      <c r="O188" s="4">
        <f t="shared" si="27"/>
        <v>0.12222222222222222</v>
      </c>
      <c r="P188" s="5">
        <f t="shared" si="72"/>
        <v>8.2100421617477964E-2</v>
      </c>
      <c r="Q188" s="5">
        <f t="shared" si="73"/>
        <v>0.11702127659574468</v>
      </c>
      <c r="R188" s="3"/>
    </row>
    <row r="189" spans="1:18" x14ac:dyDescent="0.3">
      <c r="A189" s="3" t="s">
        <v>107</v>
      </c>
      <c r="B189" s="3" t="s">
        <v>20</v>
      </c>
      <c r="C189" s="3" t="s">
        <v>81</v>
      </c>
      <c r="D189" s="3">
        <v>18</v>
      </c>
      <c r="E189" s="3">
        <v>5</v>
      </c>
      <c r="F189" s="3">
        <v>600</v>
      </c>
      <c r="G189" s="3">
        <v>3</v>
      </c>
      <c r="H189" s="3">
        <v>3</v>
      </c>
      <c r="I189" s="3">
        <f t="shared" si="64"/>
        <v>6</v>
      </c>
      <c r="J189" s="3">
        <f t="shared" si="29"/>
        <v>3</v>
      </c>
      <c r="K189" s="3">
        <v>0</v>
      </c>
      <c r="L189" s="3">
        <v>0</v>
      </c>
      <c r="M189" s="4">
        <f t="shared" si="32"/>
        <v>3.3333333333333333E-2</v>
      </c>
      <c r="N189" s="4">
        <f t="shared" si="33"/>
        <v>3.3333333333333333E-2</v>
      </c>
      <c r="O189" s="4">
        <f t="shared" si="27"/>
        <v>6.6666666666666666E-2</v>
      </c>
      <c r="P189" s="5">
        <f t="shared" si="72"/>
        <v>4.5994633959371409E-2</v>
      </c>
      <c r="Q189" s="5">
        <f t="shared" si="73"/>
        <v>6.3829787234042548E-2</v>
      </c>
      <c r="R189" s="3"/>
    </row>
    <row r="190" spans="1:18" x14ac:dyDescent="0.3">
      <c r="A190" s="1" t="s">
        <v>107</v>
      </c>
      <c r="B190" s="1" t="s">
        <v>26</v>
      </c>
      <c r="C190" s="1" t="s">
        <v>93</v>
      </c>
      <c r="D190" s="1">
        <v>47</v>
      </c>
      <c r="E190" s="1">
        <v>38</v>
      </c>
      <c r="F190" s="1">
        <v>3249</v>
      </c>
      <c r="G190" s="1">
        <v>9</v>
      </c>
      <c r="H190" s="1">
        <v>1</v>
      </c>
      <c r="I190" s="1">
        <f t="shared" si="64"/>
        <v>10</v>
      </c>
      <c r="J190" s="1">
        <f t="shared" si="29"/>
        <v>7</v>
      </c>
      <c r="K190" s="1">
        <v>2</v>
      </c>
      <c r="L190" s="1">
        <v>3</v>
      </c>
      <c r="M190" s="10">
        <f t="shared" si="32"/>
        <v>0.1</v>
      </c>
      <c r="N190" s="10">
        <f t="shared" si="33"/>
        <v>1.1111111111111112E-2</v>
      </c>
      <c r="O190" s="10">
        <f t="shared" si="27"/>
        <v>0.1111111111111111</v>
      </c>
      <c r="P190" s="7">
        <f>F190/$F$312</f>
        <v>0.32587763289869609</v>
      </c>
      <c r="Q190" s="7">
        <f>I190/$I$312</f>
        <v>0.2857142857142857</v>
      </c>
      <c r="R190" s="7">
        <f>K190/L190</f>
        <v>0.66666666666666663</v>
      </c>
    </row>
    <row r="191" spans="1:18" x14ac:dyDescent="0.3">
      <c r="A191" s="1" t="s">
        <v>107</v>
      </c>
      <c r="B191" s="1" t="s">
        <v>26</v>
      </c>
      <c r="C191" s="1" t="s">
        <v>33</v>
      </c>
      <c r="D191" s="1">
        <v>38</v>
      </c>
      <c r="E191" s="1">
        <v>31</v>
      </c>
      <c r="F191" s="1">
        <v>2544</v>
      </c>
      <c r="G191" s="1">
        <v>9</v>
      </c>
      <c r="H191" s="1">
        <v>4</v>
      </c>
      <c r="I191" s="1">
        <f t="shared" si="64"/>
        <v>13</v>
      </c>
      <c r="J191" s="1">
        <f t="shared" si="29"/>
        <v>9</v>
      </c>
      <c r="K191" s="1">
        <v>0</v>
      </c>
      <c r="L191" s="1">
        <v>0</v>
      </c>
      <c r="M191" s="10">
        <f t="shared" si="32"/>
        <v>0.1</v>
      </c>
      <c r="N191" s="10">
        <f t="shared" si="33"/>
        <v>4.4444444444444446E-2</v>
      </c>
      <c r="O191" s="10">
        <f t="shared" si="27"/>
        <v>0.14444444444444443</v>
      </c>
      <c r="P191" s="7">
        <f>F191/$F$312</f>
        <v>0.2551654964894684</v>
      </c>
      <c r="Q191" s="7">
        <f>I191/$I$312</f>
        <v>0.37142857142857144</v>
      </c>
    </row>
    <row r="192" spans="1:18" x14ac:dyDescent="0.3">
      <c r="A192" s="1" t="s">
        <v>107</v>
      </c>
      <c r="B192" s="1" t="s">
        <v>26</v>
      </c>
      <c r="C192" s="1" t="s">
        <v>112</v>
      </c>
      <c r="D192" s="1">
        <v>45</v>
      </c>
      <c r="E192" s="1">
        <v>21</v>
      </c>
      <c r="F192" s="1">
        <v>2035</v>
      </c>
      <c r="G192" s="1">
        <v>3</v>
      </c>
      <c r="H192" s="1">
        <v>1</v>
      </c>
      <c r="I192" s="1">
        <f t="shared" si="64"/>
        <v>4</v>
      </c>
      <c r="J192" s="1">
        <f t="shared" si="29"/>
        <v>3</v>
      </c>
      <c r="K192" s="1">
        <v>0</v>
      </c>
      <c r="L192" s="1">
        <v>0</v>
      </c>
      <c r="M192" s="10">
        <f t="shared" si="32"/>
        <v>3.3333333333333333E-2</v>
      </c>
      <c r="N192" s="10">
        <f t="shared" si="33"/>
        <v>1.1111111111111112E-2</v>
      </c>
      <c r="O192" s="10">
        <f t="shared" si="27"/>
        <v>4.4444444444444446E-2</v>
      </c>
      <c r="P192" s="7">
        <f>F192/$F$312</f>
        <v>0.2041123370110331</v>
      </c>
      <c r="Q192" s="7">
        <f>I192/$I$312</f>
        <v>0.11428571428571428</v>
      </c>
    </row>
    <row r="193" spans="1:18" x14ac:dyDescent="0.3">
      <c r="A193" s="1" t="s">
        <v>107</v>
      </c>
      <c r="B193" s="1" t="s">
        <v>26</v>
      </c>
      <c r="C193" s="1" t="s">
        <v>113</v>
      </c>
      <c r="D193" s="1">
        <v>20</v>
      </c>
      <c r="E193" s="1">
        <v>14</v>
      </c>
      <c r="F193" s="1">
        <v>1185</v>
      </c>
      <c r="G193" s="1">
        <v>4</v>
      </c>
      <c r="H193" s="1">
        <v>0</v>
      </c>
      <c r="I193" s="1">
        <f t="shared" ref="I193:I247" si="75">SUM(G193,H193)</f>
        <v>4</v>
      </c>
      <c r="J193" s="1">
        <f t="shared" si="29"/>
        <v>4</v>
      </c>
      <c r="K193" s="1">
        <v>0</v>
      </c>
      <c r="L193" s="1">
        <v>0</v>
      </c>
      <c r="M193" s="10">
        <f t="shared" si="32"/>
        <v>4.4444444444444446E-2</v>
      </c>
      <c r="N193" s="10">
        <f t="shared" si="33"/>
        <v>0</v>
      </c>
      <c r="O193" s="10">
        <f t="shared" si="27"/>
        <v>4.4444444444444446E-2</v>
      </c>
      <c r="P193" s="7">
        <f>F193/$F$312</f>
        <v>0.11885656970912738</v>
      </c>
      <c r="Q193" s="7">
        <f>I193/$I$312</f>
        <v>0.11428571428571428</v>
      </c>
    </row>
    <row r="194" spans="1:18" x14ac:dyDescent="0.3">
      <c r="A194" s="1" t="s">
        <v>107</v>
      </c>
      <c r="B194" s="1" t="s">
        <v>26</v>
      </c>
      <c r="C194" s="1" t="s">
        <v>23</v>
      </c>
      <c r="D194" s="1">
        <v>21</v>
      </c>
      <c r="E194" s="1">
        <v>11</v>
      </c>
      <c r="F194" s="1">
        <v>957</v>
      </c>
      <c r="G194" s="1">
        <v>3</v>
      </c>
      <c r="H194" s="1">
        <v>1</v>
      </c>
      <c r="I194" s="1">
        <f t="shared" si="75"/>
        <v>4</v>
      </c>
      <c r="J194" s="1">
        <f t="shared" si="29"/>
        <v>3</v>
      </c>
      <c r="K194" s="1">
        <v>0</v>
      </c>
      <c r="L194" s="1">
        <v>0</v>
      </c>
      <c r="M194" s="10">
        <f t="shared" si="32"/>
        <v>3.3333333333333333E-2</v>
      </c>
      <c r="N194" s="10">
        <f t="shared" si="33"/>
        <v>1.1111111111111112E-2</v>
      </c>
      <c r="O194" s="10">
        <f t="shared" si="27"/>
        <v>4.4444444444444446E-2</v>
      </c>
      <c r="P194" s="7">
        <f>F194/$F$312</f>
        <v>9.5987963891675021E-2</v>
      </c>
      <c r="Q194" s="7">
        <f>I194/$I$312</f>
        <v>0.11428571428571428</v>
      </c>
    </row>
    <row r="195" spans="1:18" x14ac:dyDescent="0.3">
      <c r="A195" s="3" t="s">
        <v>107</v>
      </c>
      <c r="B195" s="3" t="s">
        <v>32</v>
      </c>
      <c r="C195" s="3" t="s">
        <v>114</v>
      </c>
      <c r="D195" s="3">
        <v>53</v>
      </c>
      <c r="E195" s="3">
        <v>50</v>
      </c>
      <c r="F195" s="3">
        <v>4116</v>
      </c>
      <c r="G195" s="3">
        <v>52</v>
      </c>
      <c r="H195" s="3">
        <v>9</v>
      </c>
      <c r="I195" s="3">
        <f t="shared" si="75"/>
        <v>61</v>
      </c>
      <c r="J195" s="3">
        <f t="shared" si="29"/>
        <v>44</v>
      </c>
      <c r="K195" s="3">
        <v>8</v>
      </c>
      <c r="L195" s="3">
        <v>9</v>
      </c>
      <c r="M195" s="4">
        <f t="shared" si="32"/>
        <v>0.57777777777777772</v>
      </c>
      <c r="N195" s="4">
        <f t="shared" si="33"/>
        <v>0.1</v>
      </c>
      <c r="O195" s="4">
        <f t="shared" si="27"/>
        <v>0.67777777777777781</v>
      </c>
      <c r="P195" s="5">
        <f>F195/$F$313</f>
        <v>0.24495625781110517</v>
      </c>
      <c r="Q195" s="5">
        <f>I195/$I$313</f>
        <v>0.43884892086330934</v>
      </c>
      <c r="R195" s="5">
        <f>K195/L195</f>
        <v>0.88888888888888884</v>
      </c>
    </row>
    <row r="196" spans="1:18" x14ac:dyDescent="0.3">
      <c r="A196" s="3" t="s">
        <v>107</v>
      </c>
      <c r="B196" s="3" t="s">
        <v>32</v>
      </c>
      <c r="C196" s="3" t="s">
        <v>37</v>
      </c>
      <c r="D196" s="3">
        <v>55</v>
      </c>
      <c r="E196" s="3">
        <v>38</v>
      </c>
      <c r="F196" s="3">
        <v>3608</v>
      </c>
      <c r="G196" s="3">
        <v>7</v>
      </c>
      <c r="H196" s="3">
        <v>6</v>
      </c>
      <c r="I196" s="3">
        <f t="shared" si="75"/>
        <v>13</v>
      </c>
      <c r="J196" s="3">
        <f t="shared" si="29"/>
        <v>7</v>
      </c>
      <c r="K196" s="3">
        <v>0</v>
      </c>
      <c r="L196" s="3">
        <v>0</v>
      </c>
      <c r="M196" s="4">
        <f t="shared" si="32"/>
        <v>7.7777777777777779E-2</v>
      </c>
      <c r="N196" s="4">
        <f t="shared" si="33"/>
        <v>6.6666666666666666E-2</v>
      </c>
      <c r="O196" s="4">
        <f t="shared" si="27"/>
        <v>0.14444444444444443</v>
      </c>
      <c r="P196" s="5">
        <f t="shared" ref="P196:P199" si="76">F196/$F$313</f>
        <v>0.21472356126882106</v>
      </c>
      <c r="Q196" s="5">
        <f t="shared" ref="Q196:Q199" si="77">I196/$I$313</f>
        <v>9.3525179856115109E-2</v>
      </c>
      <c r="R196" s="5"/>
    </row>
    <row r="197" spans="1:18" x14ac:dyDescent="0.3">
      <c r="A197" s="3" t="s">
        <v>107</v>
      </c>
      <c r="B197" s="3" t="s">
        <v>32</v>
      </c>
      <c r="C197" s="3" t="s">
        <v>102</v>
      </c>
      <c r="D197" s="3">
        <v>50</v>
      </c>
      <c r="E197" s="3">
        <v>41</v>
      </c>
      <c r="F197" s="3">
        <v>3474</v>
      </c>
      <c r="G197" s="3">
        <v>5</v>
      </c>
      <c r="H197" s="3">
        <v>11</v>
      </c>
      <c r="I197" s="3">
        <f t="shared" si="75"/>
        <v>16</v>
      </c>
      <c r="J197" s="3">
        <f t="shared" si="29"/>
        <v>5</v>
      </c>
      <c r="K197" s="3">
        <v>0</v>
      </c>
      <c r="L197" s="3">
        <v>0</v>
      </c>
      <c r="M197" s="4">
        <f t="shared" si="32"/>
        <v>5.5555555555555552E-2</v>
      </c>
      <c r="N197" s="4">
        <f t="shared" si="33"/>
        <v>0.12222222222222222</v>
      </c>
      <c r="O197" s="4">
        <f t="shared" si="27"/>
        <v>0.17777777777777778</v>
      </c>
      <c r="P197" s="5">
        <f t="shared" si="76"/>
        <v>0.20674879485806105</v>
      </c>
      <c r="Q197" s="5">
        <f t="shared" si="77"/>
        <v>0.11510791366906475</v>
      </c>
      <c r="R197" s="5"/>
    </row>
    <row r="198" spans="1:18" x14ac:dyDescent="0.3">
      <c r="A198" s="3" t="s">
        <v>107</v>
      </c>
      <c r="B198" s="3" t="s">
        <v>32</v>
      </c>
      <c r="C198" s="3" t="s">
        <v>60</v>
      </c>
      <c r="D198" s="3">
        <v>47</v>
      </c>
      <c r="E198" s="3">
        <v>36</v>
      </c>
      <c r="F198" s="3">
        <v>3060</v>
      </c>
      <c r="G198" s="3">
        <v>15</v>
      </c>
      <c r="H198" s="3">
        <v>13</v>
      </c>
      <c r="I198" s="3">
        <f t="shared" si="75"/>
        <v>28</v>
      </c>
      <c r="J198" s="3">
        <f t="shared" si="29"/>
        <v>11</v>
      </c>
      <c r="K198" s="3">
        <v>4</v>
      </c>
      <c r="L198" s="3">
        <v>6</v>
      </c>
      <c r="M198" s="4">
        <f t="shared" si="32"/>
        <v>0.16666666666666666</v>
      </c>
      <c r="N198" s="4">
        <f t="shared" si="33"/>
        <v>0.14444444444444443</v>
      </c>
      <c r="O198" s="4">
        <f t="shared" si="27"/>
        <v>0.31111111111111112</v>
      </c>
      <c r="P198" s="5">
        <f t="shared" si="76"/>
        <v>0.18211033743974289</v>
      </c>
      <c r="Q198" s="5">
        <f t="shared" si="77"/>
        <v>0.20143884892086331</v>
      </c>
      <c r="R198" s="5">
        <f>K198/L198</f>
        <v>0.66666666666666663</v>
      </c>
    </row>
    <row r="199" spans="1:18" x14ac:dyDescent="0.3">
      <c r="A199" s="3" t="s">
        <v>107</v>
      </c>
      <c r="B199" s="3" t="s">
        <v>32</v>
      </c>
      <c r="C199" s="3" t="s">
        <v>115</v>
      </c>
      <c r="D199" s="3">
        <v>49</v>
      </c>
      <c r="E199" s="3">
        <v>23</v>
      </c>
      <c r="F199" s="3">
        <v>2545</v>
      </c>
      <c r="G199" s="3">
        <v>17</v>
      </c>
      <c r="H199" s="3">
        <v>4</v>
      </c>
      <c r="I199" s="3">
        <f t="shared" si="75"/>
        <v>21</v>
      </c>
      <c r="J199" s="3">
        <f t="shared" si="29"/>
        <v>15</v>
      </c>
      <c r="K199" s="3">
        <v>2</v>
      </c>
      <c r="L199" s="3">
        <v>2</v>
      </c>
      <c r="M199" s="4">
        <f t="shared" si="32"/>
        <v>0.18888888888888888</v>
      </c>
      <c r="N199" s="4">
        <f t="shared" si="33"/>
        <v>4.4444444444444446E-2</v>
      </c>
      <c r="O199" s="4">
        <f t="shared" si="27"/>
        <v>0.23333333333333334</v>
      </c>
      <c r="P199" s="5">
        <f t="shared" si="76"/>
        <v>0.15146104862226983</v>
      </c>
      <c r="Q199" s="5">
        <f t="shared" si="77"/>
        <v>0.15107913669064749</v>
      </c>
      <c r="R199" s="5">
        <f>K199/L199</f>
        <v>1</v>
      </c>
    </row>
    <row r="200" spans="1:18" x14ac:dyDescent="0.3">
      <c r="A200" s="1" t="s">
        <v>107</v>
      </c>
      <c r="B200" s="1" t="s">
        <v>38</v>
      </c>
      <c r="C200" s="1" t="s">
        <v>40</v>
      </c>
      <c r="D200" s="1">
        <v>56</v>
      </c>
      <c r="E200" s="1">
        <v>46</v>
      </c>
      <c r="F200" s="1">
        <v>4287</v>
      </c>
      <c r="G200" s="1">
        <v>30</v>
      </c>
      <c r="H200" s="1">
        <v>9</v>
      </c>
      <c r="I200" s="1">
        <f t="shared" si="75"/>
        <v>39</v>
      </c>
      <c r="J200" s="1">
        <f t="shared" si="29"/>
        <v>29</v>
      </c>
      <c r="K200" s="1">
        <v>1</v>
      </c>
      <c r="L200" s="1">
        <v>1</v>
      </c>
      <c r="M200" s="10">
        <f t="shared" si="32"/>
        <v>0.33333333333333331</v>
      </c>
      <c r="N200" s="10">
        <f t="shared" si="33"/>
        <v>0.1</v>
      </c>
      <c r="O200" s="10">
        <f t="shared" si="27"/>
        <v>0.43333333333333335</v>
      </c>
      <c r="P200" s="7">
        <f>F200/$F$314</f>
        <v>0.44319239119197767</v>
      </c>
      <c r="Q200" s="7">
        <f>I200/$I$314</f>
        <v>0.55714285714285716</v>
      </c>
      <c r="R200" s="11">
        <f t="shared" ref="R200:R205" si="78">K200/L200</f>
        <v>1</v>
      </c>
    </row>
    <row r="201" spans="1:18" x14ac:dyDescent="0.3">
      <c r="A201" s="1" t="s">
        <v>107</v>
      </c>
      <c r="B201" s="1" t="s">
        <v>38</v>
      </c>
      <c r="C201" s="1" t="s">
        <v>116</v>
      </c>
      <c r="D201" s="1">
        <v>31</v>
      </c>
      <c r="E201" s="1">
        <v>20</v>
      </c>
      <c r="F201" s="1">
        <v>1678</v>
      </c>
      <c r="G201" s="1">
        <v>2</v>
      </c>
      <c r="H201" s="1">
        <v>3</v>
      </c>
      <c r="I201" s="1">
        <f t="shared" si="75"/>
        <v>5</v>
      </c>
      <c r="J201" s="1">
        <f t="shared" si="29"/>
        <v>2</v>
      </c>
      <c r="K201" s="1">
        <v>0</v>
      </c>
      <c r="L201" s="1">
        <v>0</v>
      </c>
      <c r="M201" s="10">
        <f t="shared" si="32"/>
        <v>2.2222222222222223E-2</v>
      </c>
      <c r="N201" s="10">
        <f t="shared" si="33"/>
        <v>3.3333333333333333E-2</v>
      </c>
      <c r="O201" s="10">
        <f t="shared" si="27"/>
        <v>5.5555555555555552E-2</v>
      </c>
      <c r="P201" s="7">
        <f t="shared" ref="P201:P204" si="79">F201/$F$314</f>
        <v>0.17347255246562596</v>
      </c>
      <c r="Q201" s="7">
        <f t="shared" ref="Q201:Q204" si="80">I201/$I$314</f>
        <v>7.1428571428571425E-2</v>
      </c>
      <c r="R201" s="11"/>
    </row>
    <row r="202" spans="1:18" x14ac:dyDescent="0.3">
      <c r="A202" s="1" t="s">
        <v>107</v>
      </c>
      <c r="B202" s="1" t="s">
        <v>38</v>
      </c>
      <c r="C202" s="1" t="s">
        <v>43</v>
      </c>
      <c r="D202" s="1">
        <v>29</v>
      </c>
      <c r="E202" s="1">
        <v>17</v>
      </c>
      <c r="F202" s="1">
        <v>1436</v>
      </c>
      <c r="G202" s="1">
        <v>9</v>
      </c>
      <c r="H202" s="1">
        <v>3</v>
      </c>
      <c r="I202" s="1">
        <f t="shared" si="75"/>
        <v>12</v>
      </c>
      <c r="J202" s="1">
        <f t="shared" si="29"/>
        <v>8</v>
      </c>
      <c r="K202" s="1">
        <v>1</v>
      </c>
      <c r="L202" s="1">
        <v>1</v>
      </c>
      <c r="M202" s="10">
        <f t="shared" si="32"/>
        <v>0.1</v>
      </c>
      <c r="N202" s="10">
        <f t="shared" si="33"/>
        <v>3.3333333333333333E-2</v>
      </c>
      <c r="O202" s="10">
        <f t="shared" si="27"/>
        <v>0.13333333333333333</v>
      </c>
      <c r="P202" s="7">
        <f t="shared" si="79"/>
        <v>0.14845446087046418</v>
      </c>
      <c r="Q202" s="7">
        <f t="shared" si="80"/>
        <v>0.17142857142857143</v>
      </c>
      <c r="R202" s="11">
        <f t="shared" si="78"/>
        <v>1</v>
      </c>
    </row>
    <row r="203" spans="1:18" x14ac:dyDescent="0.3">
      <c r="A203" s="1" t="s">
        <v>107</v>
      </c>
      <c r="B203" s="1" t="s">
        <v>38</v>
      </c>
      <c r="C203" s="1" t="s">
        <v>117</v>
      </c>
      <c r="D203" s="1">
        <v>34</v>
      </c>
      <c r="E203" s="1">
        <v>11</v>
      </c>
      <c r="F203" s="1">
        <v>1217</v>
      </c>
      <c r="G203" s="1">
        <v>5</v>
      </c>
      <c r="H203" s="1">
        <v>4</v>
      </c>
      <c r="I203" s="1">
        <f t="shared" si="75"/>
        <v>9</v>
      </c>
      <c r="J203" s="1">
        <f t="shared" si="29"/>
        <v>5</v>
      </c>
      <c r="K203" s="1">
        <v>0</v>
      </c>
      <c r="L203" s="1">
        <v>0</v>
      </c>
      <c r="M203" s="10">
        <f t="shared" si="32"/>
        <v>5.5555555555555552E-2</v>
      </c>
      <c r="N203" s="10">
        <f t="shared" si="33"/>
        <v>4.4444444444444446E-2</v>
      </c>
      <c r="O203" s="10">
        <f t="shared" si="27"/>
        <v>0.1</v>
      </c>
      <c r="P203" s="7">
        <f t="shared" si="79"/>
        <v>0.12581412178228057</v>
      </c>
      <c r="Q203" s="7">
        <f t="shared" si="80"/>
        <v>0.12857142857142856</v>
      </c>
      <c r="R203" s="11"/>
    </row>
    <row r="204" spans="1:18" x14ac:dyDescent="0.3">
      <c r="A204" s="1" t="s">
        <v>107</v>
      </c>
      <c r="B204" s="1" t="s">
        <v>38</v>
      </c>
      <c r="C204" s="1" t="s">
        <v>104</v>
      </c>
      <c r="D204" s="1">
        <v>16</v>
      </c>
      <c r="E204" s="1">
        <v>10</v>
      </c>
      <c r="F204" s="1">
        <v>1055</v>
      </c>
      <c r="G204" s="1">
        <v>3</v>
      </c>
      <c r="H204" s="1">
        <v>2</v>
      </c>
      <c r="I204" s="1">
        <f t="shared" si="75"/>
        <v>5</v>
      </c>
      <c r="J204" s="1">
        <f t="shared" si="29"/>
        <v>2</v>
      </c>
      <c r="K204" s="1">
        <v>1</v>
      </c>
      <c r="L204" s="1">
        <v>1</v>
      </c>
      <c r="M204" s="10">
        <f t="shared" si="32"/>
        <v>3.3333333333333333E-2</v>
      </c>
      <c r="N204" s="10">
        <f t="shared" si="33"/>
        <v>2.2222222222222223E-2</v>
      </c>
      <c r="O204" s="10">
        <f t="shared" si="27"/>
        <v>5.5555555555555552E-2</v>
      </c>
      <c r="P204" s="7">
        <f t="shared" si="79"/>
        <v>0.10906647368965161</v>
      </c>
      <c r="Q204" s="7">
        <f t="shared" si="80"/>
        <v>7.1428571428571425E-2</v>
      </c>
      <c r="R204" s="11">
        <f t="shared" si="78"/>
        <v>1</v>
      </c>
    </row>
    <row r="205" spans="1:18" x14ac:dyDescent="0.3">
      <c r="A205" s="3" t="s">
        <v>107</v>
      </c>
      <c r="B205" s="3" t="s">
        <v>46</v>
      </c>
      <c r="C205" s="3" t="s">
        <v>47</v>
      </c>
      <c r="D205" s="3">
        <v>49</v>
      </c>
      <c r="E205" s="3">
        <v>48</v>
      </c>
      <c r="F205" s="3">
        <v>4299</v>
      </c>
      <c r="G205" s="3">
        <v>32</v>
      </c>
      <c r="H205" s="3">
        <v>5</v>
      </c>
      <c r="I205" s="3">
        <f t="shared" si="75"/>
        <v>37</v>
      </c>
      <c r="J205" s="3">
        <f t="shared" si="29"/>
        <v>26</v>
      </c>
      <c r="K205" s="3">
        <v>6</v>
      </c>
      <c r="L205" s="3">
        <v>8</v>
      </c>
      <c r="M205" s="4">
        <f t="shared" si="32"/>
        <v>0.35555555555555557</v>
      </c>
      <c r="N205" s="4">
        <f t="shared" si="33"/>
        <v>5.5555555555555552E-2</v>
      </c>
      <c r="O205" s="4">
        <f t="shared" si="27"/>
        <v>0.41111111111111109</v>
      </c>
      <c r="P205" s="5">
        <f>F205/$F$315</f>
        <v>0.34818174455333278</v>
      </c>
      <c r="Q205" s="5">
        <f>I205/$I$315</f>
        <v>0.5</v>
      </c>
      <c r="R205" s="5">
        <f t="shared" si="78"/>
        <v>0.75</v>
      </c>
    </row>
    <row r="206" spans="1:18" x14ac:dyDescent="0.3">
      <c r="A206" s="3" t="s">
        <v>107</v>
      </c>
      <c r="B206" s="3" t="s">
        <v>46</v>
      </c>
      <c r="C206" s="3" t="s">
        <v>49</v>
      </c>
      <c r="D206" s="3">
        <v>47</v>
      </c>
      <c r="E206" s="3">
        <v>44</v>
      </c>
      <c r="F206" s="3">
        <v>3770</v>
      </c>
      <c r="G206" s="3">
        <v>14</v>
      </c>
      <c r="H206" s="3">
        <v>6</v>
      </c>
      <c r="I206" s="3">
        <f t="shared" si="75"/>
        <v>20</v>
      </c>
      <c r="J206" s="3">
        <f t="shared" si="29"/>
        <v>14</v>
      </c>
      <c r="K206" s="3">
        <v>0</v>
      </c>
      <c r="L206" s="3">
        <v>0</v>
      </c>
      <c r="M206" s="4">
        <f t="shared" si="32"/>
        <v>0.15555555555555556</v>
      </c>
      <c r="N206" s="4">
        <f t="shared" si="33"/>
        <v>6.6666666666666666E-2</v>
      </c>
      <c r="O206" s="4">
        <f t="shared" si="27"/>
        <v>0.22222222222222221</v>
      </c>
      <c r="P206" s="5">
        <f t="shared" ref="P206:P209" si="81">F206/$F$315</f>
        <v>0.30533732890580706</v>
      </c>
      <c r="Q206" s="5">
        <f t="shared" ref="Q206:Q209" si="82">I206/$I$315</f>
        <v>0.27027027027027029</v>
      </c>
      <c r="R206" s="5"/>
    </row>
    <row r="207" spans="1:18" x14ac:dyDescent="0.3">
      <c r="A207" s="3" t="s">
        <v>107</v>
      </c>
      <c r="B207" s="3" t="s">
        <v>46</v>
      </c>
      <c r="C207" s="3" t="s">
        <v>106</v>
      </c>
      <c r="D207" s="3">
        <v>37</v>
      </c>
      <c r="E207" s="3">
        <v>26</v>
      </c>
      <c r="F207" s="3">
        <v>2407</v>
      </c>
      <c r="G207" s="3">
        <v>2</v>
      </c>
      <c r="H207" s="3">
        <v>8</v>
      </c>
      <c r="I207" s="3">
        <f t="shared" si="75"/>
        <v>10</v>
      </c>
      <c r="J207" s="3">
        <f t="shared" si="29"/>
        <v>2</v>
      </c>
      <c r="K207" s="3">
        <v>0</v>
      </c>
      <c r="L207" s="3">
        <v>0</v>
      </c>
      <c r="M207" s="4">
        <f t="shared" si="32"/>
        <v>2.2222222222222223E-2</v>
      </c>
      <c r="N207" s="4">
        <f t="shared" si="33"/>
        <v>8.8888888888888892E-2</v>
      </c>
      <c r="O207" s="4">
        <f t="shared" si="27"/>
        <v>0.1111111111111111</v>
      </c>
      <c r="P207" s="5">
        <f t="shared" si="81"/>
        <v>0.19494614076293837</v>
      </c>
      <c r="Q207" s="5">
        <f t="shared" si="82"/>
        <v>0.13513513513513514</v>
      </c>
      <c r="R207" s="5"/>
    </row>
    <row r="208" spans="1:18" x14ac:dyDescent="0.3">
      <c r="A208" s="3" t="s">
        <v>107</v>
      </c>
      <c r="B208" s="3" t="s">
        <v>46</v>
      </c>
      <c r="C208" s="3" t="s">
        <v>118</v>
      </c>
      <c r="D208" s="3">
        <v>35</v>
      </c>
      <c r="E208" s="3">
        <v>17</v>
      </c>
      <c r="F208" s="3">
        <v>1471</v>
      </c>
      <c r="G208" s="3">
        <v>3</v>
      </c>
      <c r="H208" s="3">
        <v>3</v>
      </c>
      <c r="I208" s="3">
        <f t="shared" si="75"/>
        <v>6</v>
      </c>
      <c r="J208" s="3">
        <f t="shared" si="29"/>
        <v>3</v>
      </c>
      <c r="K208" s="3">
        <v>0</v>
      </c>
      <c r="L208" s="3">
        <v>0</v>
      </c>
      <c r="M208" s="4">
        <f t="shared" si="32"/>
        <v>3.3333333333333333E-2</v>
      </c>
      <c r="N208" s="4">
        <f t="shared" si="33"/>
        <v>3.3333333333333333E-2</v>
      </c>
      <c r="O208" s="4">
        <f t="shared" si="27"/>
        <v>6.6666666666666666E-2</v>
      </c>
      <c r="P208" s="5">
        <f t="shared" si="81"/>
        <v>0.11913825220701385</v>
      </c>
      <c r="Q208" s="5">
        <f t="shared" si="82"/>
        <v>8.1081081081081086E-2</v>
      </c>
      <c r="R208" s="5"/>
    </row>
    <row r="209" spans="1:18" x14ac:dyDescent="0.3">
      <c r="A209" s="3" t="s">
        <v>107</v>
      </c>
      <c r="B209" s="3" t="s">
        <v>46</v>
      </c>
      <c r="C209" s="3" t="s">
        <v>51</v>
      </c>
      <c r="D209" s="3">
        <v>19</v>
      </c>
      <c r="E209" s="3">
        <v>3</v>
      </c>
      <c r="F209" s="3">
        <v>400</v>
      </c>
      <c r="G209" s="3">
        <v>1</v>
      </c>
      <c r="H209" s="3">
        <v>0</v>
      </c>
      <c r="I209" s="3">
        <f t="shared" si="75"/>
        <v>1</v>
      </c>
      <c r="J209" s="3">
        <f t="shared" si="29"/>
        <v>1</v>
      </c>
      <c r="K209" s="3">
        <v>0</v>
      </c>
      <c r="L209" s="3">
        <v>0</v>
      </c>
      <c r="M209" s="4">
        <f t="shared" si="32"/>
        <v>1.1111111111111112E-2</v>
      </c>
      <c r="N209" s="4">
        <f t="shared" si="33"/>
        <v>0</v>
      </c>
      <c r="O209" s="4">
        <f t="shared" si="27"/>
        <v>1.1111111111111112E-2</v>
      </c>
      <c r="P209" s="5">
        <f t="shared" si="81"/>
        <v>3.2396533570907909E-2</v>
      </c>
      <c r="Q209" s="5">
        <f t="shared" si="82"/>
        <v>1.3513513513513514E-2</v>
      </c>
      <c r="R209" s="5"/>
    </row>
    <row r="210" spans="1:18" x14ac:dyDescent="0.3">
      <c r="A210" s="1" t="s">
        <v>119</v>
      </c>
      <c r="B210" s="1" t="s">
        <v>13</v>
      </c>
      <c r="C210" s="1" t="s">
        <v>100</v>
      </c>
      <c r="D210" s="1">
        <v>51</v>
      </c>
      <c r="E210" s="1">
        <v>42</v>
      </c>
      <c r="F210" s="1">
        <v>3596</v>
      </c>
      <c r="G210" s="1">
        <v>13</v>
      </c>
      <c r="H210" s="1">
        <v>5</v>
      </c>
      <c r="I210" s="1">
        <f t="shared" si="75"/>
        <v>18</v>
      </c>
      <c r="J210" s="1">
        <f t="shared" si="29"/>
        <v>13</v>
      </c>
      <c r="K210" s="1">
        <v>0</v>
      </c>
      <c r="L210" s="1">
        <v>0</v>
      </c>
      <c r="M210" s="10">
        <f t="shared" si="32"/>
        <v>0.14444444444444443</v>
      </c>
      <c r="N210" s="10">
        <f t="shared" si="33"/>
        <v>5.5555555555555552E-2</v>
      </c>
      <c r="O210" s="10">
        <f t="shared" si="27"/>
        <v>0.2</v>
      </c>
      <c r="P210" s="7">
        <f t="shared" ref="P210:P215" si="83">F210/$F$316</f>
        <v>0.24684239428885227</v>
      </c>
      <c r="Q210" s="7">
        <f>I210/$I$316</f>
        <v>0.13740458015267176</v>
      </c>
    </row>
    <row r="211" spans="1:18" x14ac:dyDescent="0.3">
      <c r="A211" s="1" t="s">
        <v>119</v>
      </c>
      <c r="B211" s="1" t="s">
        <v>13</v>
      </c>
      <c r="C211" s="1" t="s">
        <v>15</v>
      </c>
      <c r="D211" s="1">
        <v>44</v>
      </c>
      <c r="E211" s="1">
        <v>34</v>
      </c>
      <c r="F211" s="1">
        <v>3131</v>
      </c>
      <c r="G211" s="1">
        <v>25</v>
      </c>
      <c r="H211" s="1">
        <v>14</v>
      </c>
      <c r="I211" s="1">
        <f t="shared" si="75"/>
        <v>39</v>
      </c>
      <c r="J211" s="1">
        <f t="shared" si="29"/>
        <v>19</v>
      </c>
      <c r="K211" s="1">
        <v>6</v>
      </c>
      <c r="L211" s="1">
        <v>8</v>
      </c>
      <c r="M211" s="10">
        <f t="shared" si="32"/>
        <v>0.27777777777777779</v>
      </c>
      <c r="N211" s="10">
        <f t="shared" si="33"/>
        <v>0.15555555555555556</v>
      </c>
      <c r="O211" s="10">
        <f t="shared" si="27"/>
        <v>0.43333333333333335</v>
      </c>
      <c r="P211" s="7">
        <f t="shared" si="83"/>
        <v>0.2149231191652938</v>
      </c>
      <c r="Q211" s="7">
        <f t="shared" ref="Q211:Q214" si="84">I211/$I$316</f>
        <v>0.29770992366412213</v>
      </c>
      <c r="R211" s="7">
        <f>K211/L211</f>
        <v>0.75</v>
      </c>
    </row>
    <row r="212" spans="1:18" x14ac:dyDescent="0.3">
      <c r="A212" s="1" t="s">
        <v>119</v>
      </c>
      <c r="B212" s="1" t="s">
        <v>13</v>
      </c>
      <c r="C212" s="1" t="s">
        <v>108</v>
      </c>
      <c r="D212" s="1">
        <v>54</v>
      </c>
      <c r="E212" s="1">
        <v>33</v>
      </c>
      <c r="F212" s="1">
        <v>3030</v>
      </c>
      <c r="G212" s="1">
        <v>18</v>
      </c>
      <c r="H212" s="1">
        <v>13</v>
      </c>
      <c r="I212" s="1">
        <f t="shared" si="75"/>
        <v>31</v>
      </c>
      <c r="J212" s="1">
        <f t="shared" si="29"/>
        <v>17</v>
      </c>
      <c r="K212" s="1">
        <v>1</v>
      </c>
      <c r="L212" s="1">
        <v>2</v>
      </c>
      <c r="M212" s="10">
        <f t="shared" si="32"/>
        <v>0.2</v>
      </c>
      <c r="N212" s="10">
        <f t="shared" si="33"/>
        <v>0.14444444444444443</v>
      </c>
      <c r="O212" s="10">
        <f t="shared" si="27"/>
        <v>0.34444444444444444</v>
      </c>
      <c r="P212" s="7">
        <f t="shared" si="83"/>
        <v>0.20799011532125206</v>
      </c>
      <c r="Q212" s="7">
        <f t="shared" si="84"/>
        <v>0.23664122137404581</v>
      </c>
    </row>
    <row r="213" spans="1:18" x14ac:dyDescent="0.3">
      <c r="A213" s="1" t="s">
        <v>119</v>
      </c>
      <c r="B213" s="1" t="s">
        <v>13</v>
      </c>
      <c r="C213" s="1" t="s">
        <v>109</v>
      </c>
      <c r="D213" s="1">
        <v>53</v>
      </c>
      <c r="E213" s="1">
        <v>32</v>
      </c>
      <c r="F213" s="1">
        <v>3017</v>
      </c>
      <c r="G213" s="1">
        <v>16</v>
      </c>
      <c r="H213" s="1">
        <v>6</v>
      </c>
      <c r="I213" s="1">
        <f t="shared" si="75"/>
        <v>22</v>
      </c>
      <c r="J213" s="1">
        <f t="shared" si="29"/>
        <v>16</v>
      </c>
      <c r="K213" s="1">
        <v>0</v>
      </c>
      <c r="L213" s="1">
        <v>0</v>
      </c>
      <c r="M213" s="10">
        <f t="shared" si="32"/>
        <v>0.17777777777777778</v>
      </c>
      <c r="N213" s="10">
        <f t="shared" si="33"/>
        <v>6.6666666666666666E-2</v>
      </c>
      <c r="O213" s="10">
        <f t="shared" si="27"/>
        <v>0.24444444444444444</v>
      </c>
      <c r="P213" s="7">
        <f t="shared" si="83"/>
        <v>0.20709774848984075</v>
      </c>
      <c r="Q213" s="7">
        <f t="shared" si="84"/>
        <v>0.16793893129770993</v>
      </c>
    </row>
    <row r="214" spans="1:18" x14ac:dyDescent="0.3">
      <c r="A214" s="1" t="s">
        <v>119</v>
      </c>
      <c r="B214" s="1" t="s">
        <v>13</v>
      </c>
      <c r="C214" s="1" t="s">
        <v>89</v>
      </c>
      <c r="D214" s="1">
        <v>32</v>
      </c>
      <c r="E214" s="1">
        <v>19</v>
      </c>
      <c r="F214" s="1">
        <v>1711</v>
      </c>
      <c r="G214" s="1">
        <v>15</v>
      </c>
      <c r="H214" s="1">
        <v>4</v>
      </c>
      <c r="I214" s="1">
        <f t="shared" si="75"/>
        <v>19</v>
      </c>
      <c r="J214" s="1">
        <f t="shared" si="29"/>
        <v>15</v>
      </c>
      <c r="K214" s="1">
        <v>0</v>
      </c>
      <c r="L214" s="1">
        <v>0</v>
      </c>
      <c r="M214" s="10">
        <f t="shared" si="32"/>
        <v>0.16666666666666666</v>
      </c>
      <c r="N214" s="10">
        <f t="shared" si="33"/>
        <v>4.4444444444444446E-2</v>
      </c>
      <c r="O214" s="10">
        <f t="shared" si="27"/>
        <v>0.21111111111111111</v>
      </c>
      <c r="P214" s="7">
        <f t="shared" si="83"/>
        <v>0.11744920373421197</v>
      </c>
      <c r="Q214" s="7">
        <f t="shared" si="84"/>
        <v>0.14503816793893129</v>
      </c>
    </row>
    <row r="215" spans="1:18" x14ac:dyDescent="0.3">
      <c r="A215" s="1" t="s">
        <v>119</v>
      </c>
      <c r="B215" s="1" t="s">
        <v>13</v>
      </c>
      <c r="C215" s="1" t="s">
        <v>120</v>
      </c>
      <c r="D215" s="1">
        <v>5</v>
      </c>
      <c r="E215" s="1">
        <v>0</v>
      </c>
      <c r="F215" s="1">
        <v>83</v>
      </c>
      <c r="G215" s="1">
        <v>2</v>
      </c>
      <c r="H215" s="1">
        <v>0</v>
      </c>
      <c r="I215" s="1">
        <f t="shared" si="75"/>
        <v>2</v>
      </c>
      <c r="J215" s="1">
        <f t="shared" ref="J215:J247" si="85">G215-K215</f>
        <v>2</v>
      </c>
      <c r="K215" s="1">
        <v>0</v>
      </c>
      <c r="L215" s="1">
        <v>0</v>
      </c>
      <c r="M215" s="10">
        <f t="shared" ref="M215:M247" si="86">G215/90</f>
        <v>2.2222222222222223E-2</v>
      </c>
      <c r="N215" s="10">
        <f t="shared" ref="N215:N247" si="87">H215/90</f>
        <v>0</v>
      </c>
      <c r="O215" s="10">
        <f t="shared" ref="O215:O247" si="88">I215/90</f>
        <v>2.2222222222222223E-2</v>
      </c>
      <c r="P215" s="7">
        <f t="shared" si="83"/>
        <v>5.6974190005491488E-3</v>
      </c>
      <c r="Q215" s="7">
        <f>I215/$I$316</f>
        <v>1.5267175572519083E-2</v>
      </c>
    </row>
    <row r="216" spans="1:18" x14ac:dyDescent="0.3">
      <c r="A216" s="3" t="s">
        <v>119</v>
      </c>
      <c r="B216" s="3" t="s">
        <v>20</v>
      </c>
      <c r="C216" s="3" t="s">
        <v>101</v>
      </c>
      <c r="D216" s="3">
        <v>47</v>
      </c>
      <c r="E216" s="3">
        <v>46</v>
      </c>
      <c r="F216" s="3">
        <v>3844</v>
      </c>
      <c r="G216" s="3">
        <v>20</v>
      </c>
      <c r="H216" s="3">
        <v>14</v>
      </c>
      <c r="I216" s="3">
        <f t="shared" si="75"/>
        <v>34</v>
      </c>
      <c r="J216" s="3">
        <f t="shared" si="85"/>
        <v>14</v>
      </c>
      <c r="K216" s="3">
        <v>6</v>
      </c>
      <c r="L216" s="3">
        <v>6</v>
      </c>
      <c r="M216" s="4">
        <f t="shared" si="86"/>
        <v>0.22222222222222221</v>
      </c>
      <c r="N216" s="4">
        <f t="shared" si="87"/>
        <v>0.15555555555555556</v>
      </c>
      <c r="O216" s="4">
        <f t="shared" si="88"/>
        <v>0.37777777777777777</v>
      </c>
      <c r="P216" s="5">
        <f t="shared" ref="P216:P221" si="89">F216/$F$317</f>
        <v>0.24224855054197125</v>
      </c>
      <c r="Q216" s="5">
        <f t="shared" ref="Q216:Q221" si="90">I216/$I$317</f>
        <v>0.30357142857142855</v>
      </c>
      <c r="R216" s="5">
        <f>K216/L216</f>
        <v>1</v>
      </c>
    </row>
    <row r="217" spans="1:18" x14ac:dyDescent="0.3">
      <c r="A217" s="3" t="s">
        <v>119</v>
      </c>
      <c r="B217" s="3" t="s">
        <v>20</v>
      </c>
      <c r="C217" s="3" t="s">
        <v>93</v>
      </c>
      <c r="D217" s="3">
        <v>51</v>
      </c>
      <c r="E217" s="3">
        <v>43</v>
      </c>
      <c r="F217" s="3">
        <v>3817</v>
      </c>
      <c r="G217" s="3">
        <v>14</v>
      </c>
      <c r="H217" s="3">
        <v>7</v>
      </c>
      <c r="I217" s="3">
        <f t="shared" si="75"/>
        <v>21</v>
      </c>
      <c r="J217" s="3">
        <f t="shared" si="85"/>
        <v>13</v>
      </c>
      <c r="K217" s="3">
        <v>1</v>
      </c>
      <c r="L217" s="3">
        <v>1</v>
      </c>
      <c r="M217" s="4">
        <f t="shared" si="86"/>
        <v>0.15555555555555556</v>
      </c>
      <c r="N217" s="4">
        <f t="shared" si="87"/>
        <v>7.7777777777777779E-2</v>
      </c>
      <c r="O217" s="4">
        <f t="shared" si="88"/>
        <v>0.23333333333333334</v>
      </c>
      <c r="P217" s="5">
        <f t="shared" si="89"/>
        <v>0.2405470128560625</v>
      </c>
      <c r="Q217" s="5">
        <f t="shared" si="90"/>
        <v>0.1875</v>
      </c>
      <c r="R217" s="5">
        <f>K217/L217</f>
        <v>1</v>
      </c>
    </row>
    <row r="218" spans="1:18" x14ac:dyDescent="0.3">
      <c r="A218" s="3" t="s">
        <v>119</v>
      </c>
      <c r="B218" s="3" t="s">
        <v>20</v>
      </c>
      <c r="C218" s="3" t="s">
        <v>91</v>
      </c>
      <c r="D218" s="3">
        <v>44</v>
      </c>
      <c r="E218" s="3">
        <v>31</v>
      </c>
      <c r="F218" s="3">
        <v>2628</v>
      </c>
      <c r="G218" s="3">
        <v>8</v>
      </c>
      <c r="H218" s="3">
        <v>5</v>
      </c>
      <c r="I218" s="3">
        <f t="shared" si="75"/>
        <v>13</v>
      </c>
      <c r="J218" s="3">
        <f t="shared" si="85"/>
        <v>8</v>
      </c>
      <c r="K218" s="3">
        <v>0</v>
      </c>
      <c r="L218" s="3">
        <v>0</v>
      </c>
      <c r="M218" s="4">
        <f t="shared" si="86"/>
        <v>8.8888888888888892E-2</v>
      </c>
      <c r="N218" s="4">
        <f t="shared" si="87"/>
        <v>5.5555555555555552E-2</v>
      </c>
      <c r="O218" s="4">
        <f t="shared" si="88"/>
        <v>0.14444444444444443</v>
      </c>
      <c r="P218" s="5">
        <f t="shared" si="89"/>
        <v>0.16561633476178472</v>
      </c>
      <c r="Q218" s="5">
        <f t="shared" si="90"/>
        <v>0.11607142857142858</v>
      </c>
      <c r="R218" s="3"/>
    </row>
    <row r="219" spans="1:18" x14ac:dyDescent="0.3">
      <c r="A219" s="3" t="s">
        <v>119</v>
      </c>
      <c r="B219" s="3" t="s">
        <v>20</v>
      </c>
      <c r="C219" s="3" t="s">
        <v>111</v>
      </c>
      <c r="D219" s="3">
        <v>46</v>
      </c>
      <c r="E219" s="3">
        <v>25</v>
      </c>
      <c r="F219" s="3">
        <v>2264</v>
      </c>
      <c r="G219" s="3">
        <v>17</v>
      </c>
      <c r="H219" s="3">
        <v>2</v>
      </c>
      <c r="I219" s="3">
        <f t="shared" si="75"/>
        <v>19</v>
      </c>
      <c r="J219" s="3">
        <f t="shared" si="85"/>
        <v>17</v>
      </c>
      <c r="K219" s="3">
        <v>0</v>
      </c>
      <c r="L219" s="3">
        <v>0</v>
      </c>
      <c r="M219" s="4">
        <f t="shared" si="86"/>
        <v>0.18888888888888888</v>
      </c>
      <c r="N219" s="4">
        <f t="shared" si="87"/>
        <v>2.2222222222222223E-2</v>
      </c>
      <c r="O219" s="4">
        <f t="shared" si="88"/>
        <v>0.21111111111111111</v>
      </c>
      <c r="P219" s="5">
        <f t="shared" si="89"/>
        <v>0.14267708595916309</v>
      </c>
      <c r="Q219" s="5">
        <f t="shared" si="90"/>
        <v>0.16964285714285715</v>
      </c>
      <c r="R219" s="3"/>
    </row>
    <row r="220" spans="1:18" x14ac:dyDescent="0.3">
      <c r="A220" s="3" t="s">
        <v>119</v>
      </c>
      <c r="B220" s="3" t="s">
        <v>20</v>
      </c>
      <c r="C220" s="3" t="s">
        <v>36</v>
      </c>
      <c r="D220" s="3">
        <v>36</v>
      </c>
      <c r="E220" s="3">
        <v>21</v>
      </c>
      <c r="F220" s="3">
        <v>1907</v>
      </c>
      <c r="G220" s="3">
        <v>8</v>
      </c>
      <c r="H220" s="3">
        <v>8</v>
      </c>
      <c r="I220" s="3">
        <f t="shared" si="75"/>
        <v>16</v>
      </c>
      <c r="J220" s="3">
        <f t="shared" si="85"/>
        <v>8</v>
      </c>
      <c r="K220" s="3">
        <v>0</v>
      </c>
      <c r="L220" s="3">
        <v>0</v>
      </c>
      <c r="M220" s="4">
        <f t="shared" si="86"/>
        <v>8.8888888888888892E-2</v>
      </c>
      <c r="N220" s="4">
        <f t="shared" si="87"/>
        <v>8.8888888888888892E-2</v>
      </c>
      <c r="O220" s="4">
        <f t="shared" si="88"/>
        <v>0.17777777777777778</v>
      </c>
      <c r="P220" s="5">
        <f t="shared" si="89"/>
        <v>0.12017897655659188</v>
      </c>
      <c r="Q220" s="5">
        <f t="shared" si="90"/>
        <v>0.14285714285714285</v>
      </c>
      <c r="R220" s="3"/>
    </row>
    <row r="221" spans="1:18" x14ac:dyDescent="0.3">
      <c r="A221" s="3" t="s">
        <v>119</v>
      </c>
      <c r="B221" s="3" t="s">
        <v>20</v>
      </c>
      <c r="C221" s="3" t="s">
        <v>25</v>
      </c>
      <c r="D221" s="3">
        <v>37</v>
      </c>
      <c r="E221" s="3">
        <v>13</v>
      </c>
      <c r="F221" s="3">
        <v>1408</v>
      </c>
      <c r="G221" s="3">
        <v>6</v>
      </c>
      <c r="H221" s="3">
        <v>3</v>
      </c>
      <c r="I221" s="3">
        <f t="shared" si="75"/>
        <v>9</v>
      </c>
      <c r="J221" s="3">
        <f t="shared" si="85"/>
        <v>6</v>
      </c>
      <c r="K221" s="3">
        <v>0</v>
      </c>
      <c r="L221" s="3">
        <v>0</v>
      </c>
      <c r="M221" s="4">
        <f t="shared" si="86"/>
        <v>6.6666666666666666E-2</v>
      </c>
      <c r="N221" s="4">
        <f t="shared" si="87"/>
        <v>3.3333333333333333E-2</v>
      </c>
      <c r="O221" s="4">
        <f t="shared" si="88"/>
        <v>0.1</v>
      </c>
      <c r="P221" s="5">
        <f t="shared" si="89"/>
        <v>8.8732039324426512E-2</v>
      </c>
      <c r="Q221" s="5">
        <f t="shared" si="90"/>
        <v>8.0357142857142863E-2</v>
      </c>
      <c r="R221" s="3"/>
    </row>
    <row r="222" spans="1:18" x14ac:dyDescent="0.3">
      <c r="A222" s="1" t="s">
        <v>119</v>
      </c>
      <c r="B222" s="1" t="s">
        <v>26</v>
      </c>
      <c r="C222" s="1" t="s">
        <v>103</v>
      </c>
      <c r="D222" s="1">
        <v>45</v>
      </c>
      <c r="E222" s="1">
        <v>40</v>
      </c>
      <c r="F222" s="1">
        <v>3629</v>
      </c>
      <c r="G222" s="1">
        <v>25</v>
      </c>
      <c r="H222" s="1">
        <v>15</v>
      </c>
      <c r="I222" s="1">
        <f t="shared" si="75"/>
        <v>40</v>
      </c>
      <c r="J222" s="1">
        <f t="shared" si="85"/>
        <v>16</v>
      </c>
      <c r="K222" s="1">
        <v>9</v>
      </c>
      <c r="L222" s="1">
        <v>9</v>
      </c>
      <c r="M222" s="10">
        <f t="shared" si="86"/>
        <v>0.27777777777777779</v>
      </c>
      <c r="N222" s="10">
        <f t="shared" si="87"/>
        <v>0.16666666666666666</v>
      </c>
      <c r="O222" s="10">
        <f t="shared" si="88"/>
        <v>0.44444444444444442</v>
      </c>
      <c r="P222" s="7">
        <f>F222/$F$318</f>
        <v>0.32462653189015117</v>
      </c>
      <c r="Q222" s="7">
        <f>I222/$I$318</f>
        <v>0.46511627906976744</v>
      </c>
      <c r="R222" s="7">
        <f>K222/L222</f>
        <v>1</v>
      </c>
    </row>
    <row r="223" spans="1:18" x14ac:dyDescent="0.3">
      <c r="A223" s="1" t="s">
        <v>119</v>
      </c>
      <c r="B223" s="1" t="s">
        <v>26</v>
      </c>
      <c r="C223" s="1" t="s">
        <v>121</v>
      </c>
      <c r="D223" s="1">
        <v>44</v>
      </c>
      <c r="E223" s="1">
        <v>39</v>
      </c>
      <c r="F223" s="1">
        <v>3518</v>
      </c>
      <c r="G223" s="1">
        <v>17</v>
      </c>
      <c r="H223" s="1">
        <v>6</v>
      </c>
      <c r="I223" s="1">
        <f t="shared" si="75"/>
        <v>23</v>
      </c>
      <c r="J223" s="1">
        <f t="shared" si="85"/>
        <v>17</v>
      </c>
      <c r="K223" s="1">
        <v>0</v>
      </c>
      <c r="L223" s="1">
        <v>0</v>
      </c>
      <c r="M223" s="10">
        <f t="shared" si="86"/>
        <v>0.18888888888888888</v>
      </c>
      <c r="N223" s="10">
        <f t="shared" si="87"/>
        <v>6.6666666666666666E-2</v>
      </c>
      <c r="O223" s="10">
        <f t="shared" si="88"/>
        <v>0.25555555555555554</v>
      </c>
      <c r="P223" s="7">
        <f t="shared" ref="P223:P226" si="91">F223/$F$318</f>
        <v>0.31469720010734414</v>
      </c>
      <c r="Q223" s="7">
        <f t="shared" ref="Q223:Q226" si="92">I223/$I$318</f>
        <v>0.26744186046511625</v>
      </c>
      <c r="R223" s="7"/>
    </row>
    <row r="224" spans="1:18" x14ac:dyDescent="0.3">
      <c r="A224" s="1" t="s">
        <v>119</v>
      </c>
      <c r="B224" s="1" t="s">
        <v>26</v>
      </c>
      <c r="C224" s="1" t="s">
        <v>33</v>
      </c>
      <c r="D224" s="1">
        <v>43</v>
      </c>
      <c r="E224" s="1">
        <v>31</v>
      </c>
      <c r="F224" s="1">
        <v>2751</v>
      </c>
      <c r="G224" s="1">
        <v>10</v>
      </c>
      <c r="H224" s="1">
        <v>8</v>
      </c>
      <c r="I224" s="1">
        <f t="shared" si="75"/>
        <v>18</v>
      </c>
      <c r="J224" s="1">
        <f t="shared" si="85"/>
        <v>10</v>
      </c>
      <c r="K224" s="1">
        <v>0</v>
      </c>
      <c r="L224" s="1">
        <v>1</v>
      </c>
      <c r="M224" s="10">
        <f t="shared" si="86"/>
        <v>0.1111111111111111</v>
      </c>
      <c r="N224" s="10">
        <f t="shared" si="87"/>
        <v>8.8888888888888892E-2</v>
      </c>
      <c r="O224" s="10">
        <f t="shared" si="88"/>
        <v>0.2</v>
      </c>
      <c r="P224" s="7">
        <f t="shared" si="91"/>
        <v>0.24608641202254228</v>
      </c>
      <c r="Q224" s="7">
        <f t="shared" si="92"/>
        <v>0.20930232558139536</v>
      </c>
      <c r="R224" s="7">
        <f t="shared" ref="R224" si="93">K224/L224</f>
        <v>0</v>
      </c>
    </row>
    <row r="225" spans="1:18" x14ac:dyDescent="0.3">
      <c r="A225" s="1" t="s">
        <v>119</v>
      </c>
      <c r="B225" s="1" t="s">
        <v>26</v>
      </c>
      <c r="C225" s="1" t="s">
        <v>122</v>
      </c>
      <c r="D225" s="1">
        <v>19</v>
      </c>
      <c r="E225" s="1">
        <v>8</v>
      </c>
      <c r="F225" s="1">
        <v>728</v>
      </c>
      <c r="G225" s="1">
        <v>2</v>
      </c>
      <c r="H225" s="1">
        <v>0</v>
      </c>
      <c r="I225" s="1">
        <f t="shared" si="75"/>
        <v>2</v>
      </c>
      <c r="J225" s="1">
        <f t="shared" si="85"/>
        <v>2</v>
      </c>
      <c r="K225" s="1">
        <v>0</v>
      </c>
      <c r="L225" s="1">
        <v>0</v>
      </c>
      <c r="M225" s="10">
        <f t="shared" si="86"/>
        <v>2.2222222222222223E-2</v>
      </c>
      <c r="N225" s="10">
        <f t="shared" si="87"/>
        <v>0</v>
      </c>
      <c r="O225" s="10">
        <f t="shared" si="88"/>
        <v>2.2222222222222223E-2</v>
      </c>
      <c r="P225" s="7">
        <f t="shared" si="91"/>
        <v>6.5122103944896675E-2</v>
      </c>
      <c r="Q225" s="7">
        <f t="shared" si="92"/>
        <v>2.3255813953488372E-2</v>
      </c>
      <c r="R225" s="7"/>
    </row>
    <row r="226" spans="1:18" x14ac:dyDescent="0.3">
      <c r="A226" s="1" t="s">
        <v>119</v>
      </c>
      <c r="B226" s="1" t="s">
        <v>26</v>
      </c>
      <c r="C226" s="1" t="s">
        <v>123</v>
      </c>
      <c r="D226" s="1">
        <v>14</v>
      </c>
      <c r="E226" s="1">
        <v>2</v>
      </c>
      <c r="F226" s="1">
        <v>553</v>
      </c>
      <c r="G226" s="1">
        <v>3</v>
      </c>
      <c r="H226" s="1">
        <v>0</v>
      </c>
      <c r="I226" s="1">
        <f t="shared" si="75"/>
        <v>3</v>
      </c>
      <c r="J226" s="1">
        <f t="shared" si="85"/>
        <v>3</v>
      </c>
      <c r="K226" s="1">
        <v>0</v>
      </c>
      <c r="L226" s="1">
        <v>0</v>
      </c>
      <c r="M226" s="10">
        <f t="shared" si="86"/>
        <v>3.3333333333333333E-2</v>
      </c>
      <c r="N226" s="10">
        <f t="shared" si="87"/>
        <v>0</v>
      </c>
      <c r="O226" s="10">
        <f t="shared" si="88"/>
        <v>3.3333333333333333E-2</v>
      </c>
      <c r="P226" s="7">
        <f t="shared" si="91"/>
        <v>4.9467752035065746E-2</v>
      </c>
      <c r="Q226" s="7">
        <f t="shared" si="92"/>
        <v>3.4883720930232558E-2</v>
      </c>
      <c r="R226" s="7"/>
    </row>
    <row r="227" spans="1:18" x14ac:dyDescent="0.3">
      <c r="A227" s="3" t="s">
        <v>119</v>
      </c>
      <c r="B227" s="3" t="s">
        <v>32</v>
      </c>
      <c r="C227" s="3" t="s">
        <v>114</v>
      </c>
      <c r="D227" s="3">
        <v>45</v>
      </c>
      <c r="E227" s="3">
        <v>43</v>
      </c>
      <c r="F227" s="3">
        <v>3733</v>
      </c>
      <c r="G227" s="3">
        <v>38</v>
      </c>
      <c r="H227" s="3">
        <v>6</v>
      </c>
      <c r="I227" s="3">
        <f t="shared" si="75"/>
        <v>44</v>
      </c>
      <c r="J227" s="3">
        <f t="shared" si="85"/>
        <v>29</v>
      </c>
      <c r="K227" s="3">
        <v>9</v>
      </c>
      <c r="L227" s="3">
        <v>10</v>
      </c>
      <c r="M227" s="4">
        <f t="shared" si="86"/>
        <v>0.42222222222222222</v>
      </c>
      <c r="N227" s="4">
        <f t="shared" si="87"/>
        <v>6.6666666666666666E-2</v>
      </c>
      <c r="O227" s="4">
        <f t="shared" si="88"/>
        <v>0.48888888888888887</v>
      </c>
      <c r="P227" s="5">
        <f>F227/$F$319</f>
        <v>0.2774020955636472</v>
      </c>
      <c r="Q227" s="5">
        <f>I227/$I$319</f>
        <v>0.43137254901960786</v>
      </c>
      <c r="R227" s="5">
        <f>K227/L227</f>
        <v>0.9</v>
      </c>
    </row>
    <row r="228" spans="1:18" x14ac:dyDescent="0.3">
      <c r="A228" s="3" t="s">
        <v>119</v>
      </c>
      <c r="B228" s="3" t="s">
        <v>32</v>
      </c>
      <c r="C228" s="3" t="s">
        <v>37</v>
      </c>
      <c r="D228" s="3">
        <v>47</v>
      </c>
      <c r="E228" s="3">
        <v>41</v>
      </c>
      <c r="F228" s="3">
        <v>3638</v>
      </c>
      <c r="G228" s="3">
        <v>11</v>
      </c>
      <c r="H228" s="3">
        <v>10</v>
      </c>
      <c r="I228" s="3">
        <f t="shared" si="75"/>
        <v>21</v>
      </c>
      <c r="J228" s="3">
        <f t="shared" si="85"/>
        <v>11</v>
      </c>
      <c r="K228" s="3">
        <v>0</v>
      </c>
      <c r="L228" s="3">
        <v>0</v>
      </c>
      <c r="M228" s="4">
        <f t="shared" si="86"/>
        <v>0.12222222222222222</v>
      </c>
      <c r="N228" s="4">
        <f t="shared" si="87"/>
        <v>0.1111111111111111</v>
      </c>
      <c r="O228" s="4">
        <f t="shared" si="88"/>
        <v>0.23333333333333334</v>
      </c>
      <c r="P228" s="5">
        <f t="shared" ref="P228:P231" si="94">F228/$F$319</f>
        <v>0.27034257263877537</v>
      </c>
      <c r="Q228" s="5">
        <f t="shared" ref="Q228:Q231" si="95">I228/$I$319</f>
        <v>0.20588235294117646</v>
      </c>
      <c r="R228" s="5"/>
    </row>
    <row r="229" spans="1:18" x14ac:dyDescent="0.3">
      <c r="A229" s="3" t="s">
        <v>119</v>
      </c>
      <c r="B229" s="3" t="s">
        <v>32</v>
      </c>
      <c r="C229" s="3" t="s">
        <v>115</v>
      </c>
      <c r="D229" s="3">
        <v>52</v>
      </c>
      <c r="E229" s="3">
        <v>38</v>
      </c>
      <c r="F229" s="3">
        <v>3357</v>
      </c>
      <c r="G229" s="3">
        <v>17</v>
      </c>
      <c r="H229" s="3">
        <v>11</v>
      </c>
      <c r="I229" s="3">
        <f t="shared" si="75"/>
        <v>28</v>
      </c>
      <c r="J229" s="3">
        <f t="shared" si="85"/>
        <v>15</v>
      </c>
      <c r="K229" s="3">
        <v>2</v>
      </c>
      <c r="L229" s="3">
        <v>2</v>
      </c>
      <c r="M229" s="4">
        <f t="shared" si="86"/>
        <v>0.18888888888888888</v>
      </c>
      <c r="N229" s="4">
        <f t="shared" si="87"/>
        <v>0.12222222222222222</v>
      </c>
      <c r="O229" s="4">
        <f t="shared" si="88"/>
        <v>0.31111111111111112</v>
      </c>
      <c r="P229" s="5">
        <f t="shared" si="94"/>
        <v>0.24946124693468083</v>
      </c>
      <c r="Q229" s="5">
        <f t="shared" si="95"/>
        <v>0.27450980392156865</v>
      </c>
      <c r="R229" s="5">
        <f t="shared" ref="R229" si="96">K229/L229</f>
        <v>1</v>
      </c>
    </row>
    <row r="230" spans="1:18" x14ac:dyDescent="0.3">
      <c r="A230" s="3" t="s">
        <v>119</v>
      </c>
      <c r="B230" s="3" t="s">
        <v>32</v>
      </c>
      <c r="C230" s="3" t="s">
        <v>102</v>
      </c>
      <c r="D230" s="3">
        <v>34</v>
      </c>
      <c r="E230" s="3">
        <v>24</v>
      </c>
      <c r="F230" s="3">
        <v>1934</v>
      </c>
      <c r="G230" s="3">
        <v>3</v>
      </c>
      <c r="H230" s="3">
        <v>3</v>
      </c>
      <c r="I230" s="3">
        <f t="shared" si="75"/>
        <v>6</v>
      </c>
      <c r="J230" s="3">
        <f t="shared" si="85"/>
        <v>3</v>
      </c>
      <c r="K230" s="3">
        <v>0</v>
      </c>
      <c r="L230" s="3">
        <v>0</v>
      </c>
      <c r="M230" s="4">
        <f t="shared" si="86"/>
        <v>3.3333333333333333E-2</v>
      </c>
      <c r="N230" s="4">
        <f t="shared" si="87"/>
        <v>3.3333333333333333E-2</v>
      </c>
      <c r="O230" s="4">
        <f t="shared" si="88"/>
        <v>6.6666666666666666E-2</v>
      </c>
      <c r="P230" s="5">
        <f t="shared" si="94"/>
        <v>0.14371702459686408</v>
      </c>
      <c r="Q230" s="5">
        <f t="shared" si="95"/>
        <v>5.8823529411764705E-2</v>
      </c>
      <c r="R230" s="5"/>
    </row>
    <row r="231" spans="1:18" x14ac:dyDescent="0.3">
      <c r="A231" s="3" t="s">
        <v>119</v>
      </c>
      <c r="B231" s="3" t="s">
        <v>32</v>
      </c>
      <c r="C231" s="3" t="s">
        <v>124</v>
      </c>
      <c r="D231" s="3">
        <v>24</v>
      </c>
      <c r="E231" s="3">
        <v>7</v>
      </c>
      <c r="F231" s="3">
        <v>795</v>
      </c>
      <c r="G231" s="3">
        <v>2</v>
      </c>
      <c r="H231" s="3">
        <v>1</v>
      </c>
      <c r="I231" s="3">
        <f t="shared" si="75"/>
        <v>3</v>
      </c>
      <c r="J231" s="3">
        <f t="shared" si="85"/>
        <v>2</v>
      </c>
      <c r="K231" s="3">
        <v>0</v>
      </c>
      <c r="L231" s="3">
        <v>0</v>
      </c>
      <c r="M231" s="4">
        <f t="shared" si="86"/>
        <v>2.2222222222222223E-2</v>
      </c>
      <c r="N231" s="4">
        <f t="shared" si="87"/>
        <v>1.1111111111111112E-2</v>
      </c>
      <c r="O231" s="4">
        <f t="shared" si="88"/>
        <v>3.3333333333333333E-2</v>
      </c>
      <c r="P231" s="5">
        <f t="shared" si="94"/>
        <v>5.9077060266032551E-2</v>
      </c>
      <c r="Q231" s="5">
        <f t="shared" si="95"/>
        <v>2.9411764705882353E-2</v>
      </c>
      <c r="R231" s="5"/>
    </row>
    <row r="232" spans="1:18" x14ac:dyDescent="0.3">
      <c r="A232" s="1" t="s">
        <v>119</v>
      </c>
      <c r="B232" s="1" t="s">
        <v>38</v>
      </c>
      <c r="C232" s="1" t="s">
        <v>117</v>
      </c>
      <c r="D232" s="1">
        <v>50</v>
      </c>
      <c r="E232" s="1">
        <v>41</v>
      </c>
      <c r="F232" s="1">
        <v>3560</v>
      </c>
      <c r="G232" s="1">
        <v>10</v>
      </c>
      <c r="H232" s="1">
        <v>5</v>
      </c>
      <c r="I232" s="1">
        <f t="shared" si="75"/>
        <v>15</v>
      </c>
      <c r="J232" s="1">
        <f t="shared" si="85"/>
        <v>10</v>
      </c>
      <c r="K232" s="1">
        <v>0</v>
      </c>
      <c r="L232" s="1">
        <v>0</v>
      </c>
      <c r="M232" s="10">
        <f t="shared" si="86"/>
        <v>0.1111111111111111</v>
      </c>
      <c r="N232" s="10">
        <f t="shared" si="87"/>
        <v>5.5555555555555552E-2</v>
      </c>
      <c r="O232" s="10">
        <f t="shared" si="88"/>
        <v>0.16666666666666666</v>
      </c>
      <c r="P232" s="7">
        <f>F232/$F$320</f>
        <v>0.29125419291499632</v>
      </c>
      <c r="Q232" s="7">
        <f>I232/$I$320</f>
        <v>0.27777777777777779</v>
      </c>
      <c r="R232" s="7"/>
    </row>
    <row r="233" spans="1:18" x14ac:dyDescent="0.3">
      <c r="A233" s="1" t="s">
        <v>119</v>
      </c>
      <c r="B233" s="1" t="s">
        <v>38</v>
      </c>
      <c r="C233" s="1" t="s">
        <v>125</v>
      </c>
      <c r="D233" s="1">
        <v>43</v>
      </c>
      <c r="E233" s="1">
        <v>35</v>
      </c>
      <c r="F233" s="1">
        <v>3072</v>
      </c>
      <c r="G233" s="1">
        <v>16</v>
      </c>
      <c r="H233" s="1">
        <v>2</v>
      </c>
      <c r="I233" s="1">
        <f t="shared" si="75"/>
        <v>18</v>
      </c>
      <c r="J233" s="1">
        <f t="shared" si="85"/>
        <v>16</v>
      </c>
      <c r="K233" s="1">
        <v>0</v>
      </c>
      <c r="L233" s="1">
        <v>0</v>
      </c>
      <c r="M233" s="10">
        <f t="shared" si="86"/>
        <v>0.17777777777777778</v>
      </c>
      <c r="N233" s="10">
        <f t="shared" si="87"/>
        <v>2.2222222222222223E-2</v>
      </c>
      <c r="O233" s="10">
        <f t="shared" si="88"/>
        <v>0.2</v>
      </c>
      <c r="P233" s="7">
        <f t="shared" ref="P233:P236" si="97">F233/$F$320</f>
        <v>0.25132946085249119</v>
      </c>
      <c r="Q233" s="7">
        <f t="shared" ref="Q233:Q236" si="98">I233/$I$320</f>
        <v>0.33333333333333331</v>
      </c>
      <c r="R233" s="7"/>
    </row>
    <row r="234" spans="1:18" x14ac:dyDescent="0.3">
      <c r="A234" s="1" t="s">
        <v>119</v>
      </c>
      <c r="B234" s="1" t="s">
        <v>38</v>
      </c>
      <c r="C234" s="1" t="s">
        <v>40</v>
      </c>
      <c r="D234" s="1">
        <v>43</v>
      </c>
      <c r="E234" s="1">
        <v>35</v>
      </c>
      <c r="F234" s="1">
        <v>3046</v>
      </c>
      <c r="G234" s="1">
        <v>8</v>
      </c>
      <c r="H234" s="1">
        <v>5</v>
      </c>
      <c r="I234" s="1">
        <f t="shared" si="75"/>
        <v>13</v>
      </c>
      <c r="J234" s="1">
        <f t="shared" si="85"/>
        <v>6</v>
      </c>
      <c r="K234" s="1">
        <v>2</v>
      </c>
      <c r="L234" s="1">
        <v>2</v>
      </c>
      <c r="M234" s="10">
        <f t="shared" si="86"/>
        <v>8.8888888888888892E-2</v>
      </c>
      <c r="N234" s="10">
        <f t="shared" si="87"/>
        <v>5.5555555555555552E-2</v>
      </c>
      <c r="O234" s="10">
        <f t="shared" si="88"/>
        <v>0.14444444444444443</v>
      </c>
      <c r="P234" s="7">
        <f t="shared" si="97"/>
        <v>0.24920232348850527</v>
      </c>
      <c r="Q234" s="7">
        <f t="shared" si="98"/>
        <v>0.24074074074074073</v>
      </c>
      <c r="R234" s="7">
        <f>K234/L234</f>
        <v>1</v>
      </c>
    </row>
    <row r="235" spans="1:18" x14ac:dyDescent="0.3">
      <c r="A235" s="1" t="s">
        <v>119</v>
      </c>
      <c r="B235" s="1" t="s">
        <v>38</v>
      </c>
      <c r="C235" s="1" t="s">
        <v>43</v>
      </c>
      <c r="D235" s="1">
        <v>19</v>
      </c>
      <c r="E235" s="1">
        <v>7</v>
      </c>
      <c r="F235" s="1">
        <v>635</v>
      </c>
      <c r="G235" s="1">
        <v>2</v>
      </c>
      <c r="H235" s="1">
        <v>1</v>
      </c>
      <c r="I235" s="1">
        <f t="shared" si="75"/>
        <v>3</v>
      </c>
      <c r="J235" s="1">
        <f t="shared" si="85"/>
        <v>2</v>
      </c>
      <c r="K235" s="1">
        <v>0</v>
      </c>
      <c r="L235" s="1">
        <v>0</v>
      </c>
      <c r="M235" s="10">
        <f t="shared" si="86"/>
        <v>2.2222222222222223E-2</v>
      </c>
      <c r="N235" s="10">
        <f t="shared" si="87"/>
        <v>1.1111111111111112E-2</v>
      </c>
      <c r="O235" s="10">
        <f t="shared" si="88"/>
        <v>3.3333333333333333E-2</v>
      </c>
      <c r="P235" s="7">
        <f t="shared" si="97"/>
        <v>5.1951239466579396E-2</v>
      </c>
      <c r="Q235" s="7">
        <f t="shared" si="98"/>
        <v>5.5555555555555552E-2</v>
      </c>
      <c r="R235" s="7"/>
    </row>
    <row r="236" spans="1:18" x14ac:dyDescent="0.3">
      <c r="A236" s="1" t="s">
        <v>119</v>
      </c>
      <c r="B236" s="1" t="s">
        <v>38</v>
      </c>
      <c r="C236" s="1" t="s">
        <v>126</v>
      </c>
      <c r="D236" s="1">
        <v>38</v>
      </c>
      <c r="E236" s="1">
        <v>21</v>
      </c>
      <c r="F236" s="1">
        <v>1910</v>
      </c>
      <c r="G236" s="1">
        <v>3</v>
      </c>
      <c r="H236" s="1">
        <v>2</v>
      </c>
      <c r="I236" s="1">
        <f t="shared" si="75"/>
        <v>5</v>
      </c>
      <c r="J236" s="1">
        <f t="shared" si="85"/>
        <v>3</v>
      </c>
      <c r="K236" s="1">
        <v>0</v>
      </c>
      <c r="L236" s="1">
        <v>0</v>
      </c>
      <c r="M236" s="10">
        <f t="shared" si="86"/>
        <v>3.3333333333333333E-2</v>
      </c>
      <c r="N236" s="10">
        <f t="shared" si="87"/>
        <v>2.2222222222222223E-2</v>
      </c>
      <c r="O236" s="10">
        <f t="shared" si="88"/>
        <v>5.5555555555555552E-2</v>
      </c>
      <c r="P236" s="7">
        <f t="shared" si="97"/>
        <v>0.15626278327742779</v>
      </c>
      <c r="Q236" s="7">
        <f t="shared" si="98"/>
        <v>9.2592592592592587E-2</v>
      </c>
    </row>
    <row r="237" spans="1:18" x14ac:dyDescent="0.3">
      <c r="A237" s="3" t="s">
        <v>119</v>
      </c>
      <c r="B237" s="3" t="s">
        <v>46</v>
      </c>
      <c r="C237" s="3" t="s">
        <v>49</v>
      </c>
      <c r="D237" s="3">
        <v>36</v>
      </c>
      <c r="E237" s="3">
        <v>34</v>
      </c>
      <c r="F237" s="3">
        <v>2984</v>
      </c>
      <c r="G237" s="3">
        <v>17</v>
      </c>
      <c r="H237" s="3">
        <v>10</v>
      </c>
      <c r="I237" s="3">
        <f t="shared" si="75"/>
        <v>27</v>
      </c>
      <c r="J237" s="3">
        <f t="shared" si="85"/>
        <v>15</v>
      </c>
      <c r="K237" s="3">
        <v>2</v>
      </c>
      <c r="L237" s="3">
        <v>2</v>
      </c>
      <c r="M237" s="4">
        <f t="shared" si="86"/>
        <v>0.18888888888888888</v>
      </c>
      <c r="N237" s="4">
        <f t="shared" si="87"/>
        <v>0.1111111111111111</v>
      </c>
      <c r="O237" s="4">
        <f t="shared" si="88"/>
        <v>0.3</v>
      </c>
      <c r="P237" s="5">
        <f>F237/$F$321</f>
        <v>0.27512446985063616</v>
      </c>
      <c r="Q237" s="5">
        <f>I237/$I$321</f>
        <v>0.36486486486486486</v>
      </c>
      <c r="R237" s="5">
        <f>K237/L237</f>
        <v>1</v>
      </c>
    </row>
    <row r="238" spans="1:18" x14ac:dyDescent="0.3">
      <c r="A238" s="3" t="s">
        <v>119</v>
      </c>
      <c r="B238" s="3" t="s">
        <v>46</v>
      </c>
      <c r="C238" s="3" t="s">
        <v>106</v>
      </c>
      <c r="D238" s="3">
        <v>39</v>
      </c>
      <c r="E238" s="3">
        <v>33</v>
      </c>
      <c r="F238" s="3">
        <v>2991</v>
      </c>
      <c r="G238" s="3">
        <v>8</v>
      </c>
      <c r="H238" s="3">
        <v>3</v>
      </c>
      <c r="I238" s="3">
        <f t="shared" si="75"/>
        <v>11</v>
      </c>
      <c r="J238" s="3">
        <f t="shared" si="85"/>
        <v>8</v>
      </c>
      <c r="K238" s="3">
        <v>0</v>
      </c>
      <c r="L238" s="3">
        <v>0</v>
      </c>
      <c r="M238" s="4">
        <f t="shared" si="86"/>
        <v>8.8888888888888892E-2</v>
      </c>
      <c r="N238" s="4">
        <f t="shared" si="87"/>
        <v>3.3333333333333333E-2</v>
      </c>
      <c r="O238" s="4">
        <f t="shared" si="88"/>
        <v>0.12222222222222222</v>
      </c>
      <c r="P238" s="5">
        <f t="shared" ref="P238:P241" si="99">F238/$F$321</f>
        <v>0.27576986907615708</v>
      </c>
      <c r="Q238" s="5">
        <f t="shared" ref="Q238:Q241" si="100">I238/$I$321</f>
        <v>0.14864864864864866</v>
      </c>
      <c r="R238" s="5"/>
    </row>
    <row r="239" spans="1:18" x14ac:dyDescent="0.3">
      <c r="A239" s="3" t="s">
        <v>119</v>
      </c>
      <c r="B239" s="3" t="s">
        <v>46</v>
      </c>
      <c r="C239" s="3" t="s">
        <v>127</v>
      </c>
      <c r="D239" s="3">
        <v>34</v>
      </c>
      <c r="E239" s="3">
        <v>25</v>
      </c>
      <c r="F239" s="3">
        <v>2238</v>
      </c>
      <c r="G239" s="3">
        <v>5</v>
      </c>
      <c r="H239" s="3">
        <v>10</v>
      </c>
      <c r="I239" s="3">
        <f t="shared" si="75"/>
        <v>15</v>
      </c>
      <c r="J239" s="3">
        <f t="shared" si="85"/>
        <v>5</v>
      </c>
      <c r="K239" s="3">
        <v>0</v>
      </c>
      <c r="L239" s="3">
        <v>0</v>
      </c>
      <c r="M239" s="4">
        <f t="shared" si="86"/>
        <v>5.5555555555555552E-2</v>
      </c>
      <c r="N239" s="4">
        <f t="shared" si="87"/>
        <v>0.1111111111111111</v>
      </c>
      <c r="O239" s="4">
        <f t="shared" si="88"/>
        <v>0.16666666666666666</v>
      </c>
      <c r="P239" s="5">
        <f t="shared" si="99"/>
        <v>0.20634335238797713</v>
      </c>
      <c r="Q239" s="5">
        <f t="shared" si="100"/>
        <v>0.20270270270270271</v>
      </c>
      <c r="R239" s="5"/>
    </row>
    <row r="240" spans="1:18" x14ac:dyDescent="0.3">
      <c r="A240" s="3" t="s">
        <v>119</v>
      </c>
      <c r="B240" s="3" t="s">
        <v>46</v>
      </c>
      <c r="C240" s="3" t="s">
        <v>118</v>
      </c>
      <c r="D240" s="3">
        <v>31</v>
      </c>
      <c r="E240" s="3">
        <v>21</v>
      </c>
      <c r="F240" s="3">
        <v>1734</v>
      </c>
      <c r="G240" s="3">
        <v>12</v>
      </c>
      <c r="H240" s="3">
        <v>4</v>
      </c>
      <c r="I240" s="3">
        <f t="shared" si="75"/>
        <v>16</v>
      </c>
      <c r="J240" s="3">
        <f t="shared" si="85"/>
        <v>12</v>
      </c>
      <c r="K240" s="3">
        <v>0</v>
      </c>
      <c r="L240" s="3">
        <v>0</v>
      </c>
      <c r="M240" s="4">
        <f t="shared" si="86"/>
        <v>0.13333333333333333</v>
      </c>
      <c r="N240" s="4">
        <f t="shared" si="87"/>
        <v>4.4444444444444446E-2</v>
      </c>
      <c r="O240" s="4">
        <f t="shared" si="88"/>
        <v>0.17777777777777778</v>
      </c>
      <c r="P240" s="5">
        <f t="shared" si="99"/>
        <v>0.15987460815047022</v>
      </c>
      <c r="Q240" s="5">
        <f t="shared" si="100"/>
        <v>0.21621621621621623</v>
      </c>
      <c r="R240" s="5"/>
    </row>
    <row r="241" spans="1:18" x14ac:dyDescent="0.3">
      <c r="A241" s="3" t="s">
        <v>119</v>
      </c>
      <c r="B241" s="3" t="s">
        <v>46</v>
      </c>
      <c r="C241" s="3" t="s">
        <v>92</v>
      </c>
      <c r="D241" s="3">
        <v>14</v>
      </c>
      <c r="E241" s="3">
        <v>11</v>
      </c>
      <c r="F241" s="3">
        <v>899</v>
      </c>
      <c r="G241" s="3">
        <v>2</v>
      </c>
      <c r="H241" s="3">
        <v>3</v>
      </c>
      <c r="I241" s="3">
        <f t="shared" si="75"/>
        <v>5</v>
      </c>
      <c r="J241" s="3">
        <f t="shared" si="85"/>
        <v>2</v>
      </c>
      <c r="K241" s="3">
        <v>0</v>
      </c>
      <c r="L241" s="3">
        <v>0</v>
      </c>
      <c r="M241" s="4">
        <f t="shared" si="86"/>
        <v>2.2222222222222223E-2</v>
      </c>
      <c r="N241" s="4">
        <f t="shared" si="87"/>
        <v>3.3333333333333333E-2</v>
      </c>
      <c r="O241" s="4">
        <f t="shared" si="88"/>
        <v>5.5555555555555552E-2</v>
      </c>
      <c r="P241" s="5">
        <f t="shared" si="99"/>
        <v>8.2887700534759357E-2</v>
      </c>
      <c r="Q241" s="5">
        <f t="shared" si="100"/>
        <v>6.7567567567567571E-2</v>
      </c>
      <c r="R241" s="5"/>
    </row>
    <row r="242" spans="1:18" x14ac:dyDescent="0.3">
      <c r="A242" s="1" t="s">
        <v>128</v>
      </c>
      <c r="B242" s="1" t="s">
        <v>13</v>
      </c>
      <c r="C242" s="1" t="s">
        <v>15</v>
      </c>
      <c r="D242" s="1">
        <v>52</v>
      </c>
      <c r="E242" s="1">
        <v>50</v>
      </c>
      <c r="F242" s="1">
        <v>4490</v>
      </c>
      <c r="G242" s="1">
        <v>34</v>
      </c>
      <c r="H242" s="1">
        <v>23</v>
      </c>
      <c r="I242" s="1">
        <f t="shared" si="75"/>
        <v>57</v>
      </c>
      <c r="J242" s="1">
        <f t="shared" si="85"/>
        <v>23</v>
      </c>
      <c r="K242" s="1">
        <v>11</v>
      </c>
      <c r="L242" s="1">
        <v>12</v>
      </c>
      <c r="M242" s="10">
        <f t="shared" si="86"/>
        <v>0.37777777777777777</v>
      </c>
      <c r="N242" s="10">
        <f t="shared" si="87"/>
        <v>0.25555555555555554</v>
      </c>
      <c r="O242" s="10">
        <f t="shared" si="88"/>
        <v>0.6333333333333333</v>
      </c>
      <c r="P242" s="7">
        <f t="shared" ref="P242:P248" si="101">F242/$F$322</f>
        <v>0.29975298751585555</v>
      </c>
      <c r="Q242" s="7">
        <f t="shared" ref="Q242:Q248" si="102">I242/$I$322</f>
        <v>0.4351145038167939</v>
      </c>
      <c r="R242" s="7">
        <f>K242/L242</f>
        <v>0.91666666666666663</v>
      </c>
    </row>
    <row r="243" spans="1:18" x14ac:dyDescent="0.3">
      <c r="A243" s="1" t="s">
        <v>128</v>
      </c>
      <c r="B243" s="1" t="s">
        <v>13</v>
      </c>
      <c r="C243" s="1" t="s">
        <v>100</v>
      </c>
      <c r="D243" s="1">
        <v>50</v>
      </c>
      <c r="E243" s="1">
        <v>38</v>
      </c>
      <c r="F243" s="1">
        <v>3323</v>
      </c>
      <c r="G243" s="1">
        <v>17</v>
      </c>
      <c r="H243" s="1">
        <v>5</v>
      </c>
      <c r="I243" s="1">
        <f t="shared" si="75"/>
        <v>22</v>
      </c>
      <c r="J243" s="1">
        <f t="shared" si="85"/>
        <v>17</v>
      </c>
      <c r="K243" s="1">
        <v>0</v>
      </c>
      <c r="L243" s="1">
        <v>0</v>
      </c>
      <c r="M243" s="10">
        <f t="shared" si="86"/>
        <v>0.18888888888888888</v>
      </c>
      <c r="N243" s="10">
        <f t="shared" si="87"/>
        <v>5.5555555555555552E-2</v>
      </c>
      <c r="O243" s="10">
        <f t="shared" si="88"/>
        <v>0.24444444444444444</v>
      </c>
      <c r="P243" s="7">
        <f t="shared" si="101"/>
        <v>0.22184391481407303</v>
      </c>
      <c r="Q243" s="7">
        <f t="shared" si="102"/>
        <v>0.16793893129770993</v>
      </c>
      <c r="R243" s="7"/>
    </row>
    <row r="244" spans="1:18" x14ac:dyDescent="0.3">
      <c r="A244" s="1" t="s">
        <v>128</v>
      </c>
      <c r="B244" s="1" t="s">
        <v>13</v>
      </c>
      <c r="C244" s="1" t="s">
        <v>109</v>
      </c>
      <c r="D244" s="1">
        <v>49</v>
      </c>
      <c r="E244" s="1">
        <v>32</v>
      </c>
      <c r="F244" s="1">
        <v>2690</v>
      </c>
      <c r="G244" s="1">
        <v>18</v>
      </c>
      <c r="H244" s="1">
        <v>6</v>
      </c>
      <c r="I244" s="1">
        <f t="shared" si="75"/>
        <v>24</v>
      </c>
      <c r="J244" s="1">
        <f t="shared" si="85"/>
        <v>17</v>
      </c>
      <c r="K244" s="1">
        <v>1</v>
      </c>
      <c r="L244" s="1">
        <v>1</v>
      </c>
      <c r="M244" s="10">
        <f t="shared" si="86"/>
        <v>0.2</v>
      </c>
      <c r="N244" s="10">
        <f t="shared" si="87"/>
        <v>6.6666666666666666E-2</v>
      </c>
      <c r="O244" s="10">
        <f t="shared" si="88"/>
        <v>0.26666666666666666</v>
      </c>
      <c r="P244" s="7">
        <f t="shared" si="101"/>
        <v>0.1795847519861139</v>
      </c>
      <c r="Q244" s="7">
        <f t="shared" si="102"/>
        <v>0.18320610687022901</v>
      </c>
      <c r="R244" s="7">
        <f t="shared" ref="R244" si="103">K244/L244</f>
        <v>1</v>
      </c>
    </row>
    <row r="245" spans="1:18" x14ac:dyDescent="0.3">
      <c r="A245" s="1" t="s">
        <v>128</v>
      </c>
      <c r="B245" s="1" t="s">
        <v>13</v>
      </c>
      <c r="C245" s="1" t="s">
        <v>108</v>
      </c>
      <c r="D245" s="1">
        <v>47</v>
      </c>
      <c r="E245" s="1">
        <v>17</v>
      </c>
      <c r="F245" s="1">
        <v>2058</v>
      </c>
      <c r="G245" s="1">
        <v>7</v>
      </c>
      <c r="H245" s="1">
        <v>5</v>
      </c>
      <c r="I245" s="1">
        <f t="shared" si="75"/>
        <v>12</v>
      </c>
      <c r="J245" s="1">
        <f t="shared" si="85"/>
        <v>7</v>
      </c>
      <c r="K245" s="1">
        <v>0</v>
      </c>
      <c r="L245" s="1">
        <v>0</v>
      </c>
      <c r="M245" s="10">
        <f t="shared" si="86"/>
        <v>7.7777777777777779E-2</v>
      </c>
      <c r="N245" s="10">
        <f t="shared" si="87"/>
        <v>5.5555555555555552E-2</v>
      </c>
      <c r="O245" s="10">
        <f t="shared" si="88"/>
        <v>0.13333333333333333</v>
      </c>
      <c r="P245" s="7">
        <f t="shared" si="101"/>
        <v>0.13739234928900459</v>
      </c>
      <c r="Q245" s="7">
        <f t="shared" si="102"/>
        <v>9.1603053435114504E-2</v>
      </c>
      <c r="R245" s="7"/>
    </row>
    <row r="246" spans="1:18" x14ac:dyDescent="0.3">
      <c r="A246" s="1" t="s">
        <v>128</v>
      </c>
      <c r="B246" s="1" t="s">
        <v>13</v>
      </c>
      <c r="C246" s="1" t="s">
        <v>89</v>
      </c>
      <c r="D246" s="1">
        <v>37</v>
      </c>
      <c r="E246" s="1">
        <v>22</v>
      </c>
      <c r="F246" s="1">
        <v>1831</v>
      </c>
      <c r="G246" s="1">
        <v>9</v>
      </c>
      <c r="H246" s="1">
        <v>3</v>
      </c>
      <c r="I246" s="1">
        <f t="shared" si="75"/>
        <v>12</v>
      </c>
      <c r="J246" s="1">
        <f t="shared" si="85"/>
        <v>9</v>
      </c>
      <c r="K246" s="1">
        <v>0</v>
      </c>
      <c r="L246" s="1">
        <v>0</v>
      </c>
      <c r="M246" s="10">
        <f t="shared" si="86"/>
        <v>0.1</v>
      </c>
      <c r="N246" s="10">
        <f t="shared" si="87"/>
        <v>3.3333333333333333E-2</v>
      </c>
      <c r="O246" s="10">
        <f t="shared" si="88"/>
        <v>0.13333333333333333</v>
      </c>
      <c r="P246" s="7">
        <f t="shared" si="101"/>
        <v>0.12223779958608719</v>
      </c>
      <c r="Q246" s="7">
        <f t="shared" si="102"/>
        <v>9.1603053435114504E-2</v>
      </c>
      <c r="R246" s="7"/>
    </row>
    <row r="247" spans="1:18" x14ac:dyDescent="0.3">
      <c r="A247" s="1" t="s">
        <v>128</v>
      </c>
      <c r="B247" s="1" t="s">
        <v>13</v>
      </c>
      <c r="C247" s="1" t="s">
        <v>129</v>
      </c>
      <c r="D247" s="1">
        <v>14</v>
      </c>
      <c r="E247" s="1">
        <v>4</v>
      </c>
      <c r="F247" s="1">
        <v>470</v>
      </c>
      <c r="G247" s="1">
        <v>2</v>
      </c>
      <c r="H247" s="1">
        <v>1</v>
      </c>
      <c r="I247" s="1">
        <f t="shared" si="75"/>
        <v>3</v>
      </c>
      <c r="J247" s="1">
        <f t="shared" si="85"/>
        <v>2</v>
      </c>
      <c r="K247" s="1">
        <v>0</v>
      </c>
      <c r="L247" s="1">
        <v>0</v>
      </c>
      <c r="M247" s="10">
        <f t="shared" si="86"/>
        <v>2.2222222222222223E-2</v>
      </c>
      <c r="N247" s="10">
        <f t="shared" si="87"/>
        <v>1.1111111111111112E-2</v>
      </c>
      <c r="O247" s="10">
        <f t="shared" si="88"/>
        <v>3.3333333333333333E-2</v>
      </c>
      <c r="P247" s="7">
        <f t="shared" si="101"/>
        <v>3.1377261499432541E-2</v>
      </c>
      <c r="Q247" s="7">
        <f t="shared" si="102"/>
        <v>2.2900763358778626E-2</v>
      </c>
      <c r="R247" s="7"/>
    </row>
    <row r="248" spans="1:18" x14ac:dyDescent="0.3">
      <c r="A248" s="1" t="s">
        <v>128</v>
      </c>
      <c r="B248" s="1" t="s">
        <v>13</v>
      </c>
      <c r="C248" s="1" t="s">
        <v>120</v>
      </c>
      <c r="D248" s="1">
        <v>4</v>
      </c>
      <c r="E248" s="1">
        <v>1</v>
      </c>
      <c r="F248" s="1">
        <v>117</v>
      </c>
      <c r="G248" s="1">
        <v>1</v>
      </c>
      <c r="H248" s="1">
        <v>0</v>
      </c>
      <c r="I248" s="1">
        <f t="shared" ref="I248:I277" si="104">SUM(G248,H248)</f>
        <v>1</v>
      </c>
      <c r="J248" s="1">
        <f t="shared" ref="J248:J277" si="105">G248-K248</f>
        <v>1</v>
      </c>
      <c r="K248" s="1">
        <v>0</v>
      </c>
      <c r="L248" s="1">
        <v>0</v>
      </c>
      <c r="M248" s="10">
        <f t="shared" ref="M248:M277" si="106">G248/90</f>
        <v>1.1111111111111112E-2</v>
      </c>
      <c r="N248" s="10">
        <f t="shared" ref="N248:N277" si="107">H248/90</f>
        <v>0</v>
      </c>
      <c r="O248" s="10">
        <f t="shared" ref="O248:O277" si="108">I248/90</f>
        <v>1.1111111111111112E-2</v>
      </c>
      <c r="P248" s="7">
        <f t="shared" si="101"/>
        <v>7.8109353094332062E-3</v>
      </c>
      <c r="Q248" s="7">
        <f t="shared" si="102"/>
        <v>7.6335877862595417E-3</v>
      </c>
      <c r="R248" s="7"/>
    </row>
    <row r="249" spans="1:18" x14ac:dyDescent="0.3">
      <c r="A249" s="3" t="s">
        <v>128</v>
      </c>
      <c r="B249" s="3" t="s">
        <v>20</v>
      </c>
      <c r="C249" s="3" t="s">
        <v>91</v>
      </c>
      <c r="D249" s="3">
        <v>51</v>
      </c>
      <c r="E249" s="3">
        <v>40</v>
      </c>
      <c r="F249" s="3">
        <v>3551</v>
      </c>
      <c r="G249" s="3">
        <v>10</v>
      </c>
      <c r="H249" s="3">
        <v>5</v>
      </c>
      <c r="I249" s="3">
        <f t="shared" si="104"/>
        <v>15</v>
      </c>
      <c r="J249" s="3">
        <f t="shared" si="105"/>
        <v>10</v>
      </c>
      <c r="K249" s="3">
        <v>0</v>
      </c>
      <c r="L249" s="3">
        <v>0</v>
      </c>
      <c r="M249" s="4">
        <f t="shared" si="106"/>
        <v>0.1111111111111111</v>
      </c>
      <c r="N249" s="4">
        <f t="shared" si="107"/>
        <v>5.5555555555555552E-2</v>
      </c>
      <c r="O249" s="4">
        <f t="shared" si="108"/>
        <v>0.16666666666666666</v>
      </c>
      <c r="P249" s="5">
        <f>F249/$F$323</f>
        <v>0.18885284263149496</v>
      </c>
      <c r="Q249" s="5">
        <f>I249/$I$323</f>
        <v>0.1271186440677966</v>
      </c>
      <c r="R249" s="5"/>
    </row>
    <row r="250" spans="1:18" x14ac:dyDescent="0.3">
      <c r="A250" s="3" t="s">
        <v>128</v>
      </c>
      <c r="B250" s="3" t="s">
        <v>20</v>
      </c>
      <c r="C250" s="3" t="s">
        <v>111</v>
      </c>
      <c r="D250" s="3">
        <v>56</v>
      </c>
      <c r="E250" s="3">
        <v>37</v>
      </c>
      <c r="F250" s="3">
        <v>3452</v>
      </c>
      <c r="G250" s="3">
        <v>10</v>
      </c>
      <c r="H250" s="3">
        <v>9</v>
      </c>
      <c r="I250" s="3">
        <f t="shared" si="104"/>
        <v>19</v>
      </c>
      <c r="J250" s="3">
        <f t="shared" si="105"/>
        <v>10</v>
      </c>
      <c r="K250" s="3">
        <v>0</v>
      </c>
      <c r="L250" s="3">
        <v>1</v>
      </c>
      <c r="M250" s="4">
        <f t="shared" si="106"/>
        <v>0.1111111111111111</v>
      </c>
      <c r="N250" s="4">
        <f t="shared" si="107"/>
        <v>0.1</v>
      </c>
      <c r="O250" s="4">
        <f t="shared" si="108"/>
        <v>0.21111111111111111</v>
      </c>
      <c r="P250" s="5">
        <f t="shared" ref="P250:P256" si="109">F250/$F$323</f>
        <v>0.18358772536297399</v>
      </c>
      <c r="Q250" s="5">
        <f t="shared" ref="Q250:Q256" si="110">I250/$I$323</f>
        <v>0.16101694915254236</v>
      </c>
      <c r="R250" s="5">
        <f>K250/L250</f>
        <v>0</v>
      </c>
    </row>
    <row r="251" spans="1:18" x14ac:dyDescent="0.3">
      <c r="A251" s="3" t="s">
        <v>128</v>
      </c>
      <c r="B251" s="3" t="s">
        <v>20</v>
      </c>
      <c r="C251" s="3" t="s">
        <v>93</v>
      </c>
      <c r="D251" s="3">
        <v>36</v>
      </c>
      <c r="E251" s="3">
        <v>30</v>
      </c>
      <c r="F251" s="3">
        <v>2810</v>
      </c>
      <c r="G251" s="3">
        <v>15</v>
      </c>
      <c r="H251" s="3">
        <v>4</v>
      </c>
      <c r="I251" s="3">
        <f t="shared" si="104"/>
        <v>19</v>
      </c>
      <c r="J251" s="3">
        <f t="shared" si="105"/>
        <v>15</v>
      </c>
      <c r="K251" s="3">
        <v>0</v>
      </c>
      <c r="L251" s="3">
        <v>0</v>
      </c>
      <c r="M251" s="4">
        <f t="shared" si="106"/>
        <v>0.16666666666666666</v>
      </c>
      <c r="N251" s="4">
        <f t="shared" si="107"/>
        <v>4.4444444444444446E-2</v>
      </c>
      <c r="O251" s="4">
        <f t="shared" si="108"/>
        <v>0.21111111111111111</v>
      </c>
      <c r="P251" s="5">
        <f t="shared" si="109"/>
        <v>0.14944423762165612</v>
      </c>
      <c r="Q251" s="5">
        <f t="shared" si="110"/>
        <v>0.16101694915254236</v>
      </c>
      <c r="R251" s="5"/>
    </row>
    <row r="252" spans="1:18" x14ac:dyDescent="0.3">
      <c r="A252" s="3" t="s">
        <v>128</v>
      </c>
      <c r="B252" s="3" t="s">
        <v>20</v>
      </c>
      <c r="C252" s="3" t="s">
        <v>130</v>
      </c>
      <c r="D252" s="3">
        <v>44</v>
      </c>
      <c r="E252" s="3">
        <v>29</v>
      </c>
      <c r="F252" s="3">
        <v>2640</v>
      </c>
      <c r="G252" s="3">
        <v>9</v>
      </c>
      <c r="H252" s="3">
        <v>5</v>
      </c>
      <c r="I252" s="3">
        <f t="shared" si="104"/>
        <v>14</v>
      </c>
      <c r="J252" s="3">
        <f t="shared" si="105"/>
        <v>9</v>
      </c>
      <c r="K252" s="3">
        <v>0</v>
      </c>
      <c r="L252" s="3">
        <v>0</v>
      </c>
      <c r="M252" s="4">
        <f t="shared" si="106"/>
        <v>0.1</v>
      </c>
      <c r="N252" s="4">
        <f t="shared" si="107"/>
        <v>5.5555555555555552E-2</v>
      </c>
      <c r="O252" s="4">
        <f t="shared" si="108"/>
        <v>0.15555555555555556</v>
      </c>
      <c r="P252" s="5">
        <f t="shared" si="109"/>
        <v>0.1404031271605595</v>
      </c>
      <c r="Q252" s="5">
        <f t="shared" si="110"/>
        <v>0.11864406779661017</v>
      </c>
      <c r="R252" s="5"/>
    </row>
    <row r="253" spans="1:18" x14ac:dyDescent="0.3">
      <c r="A253" s="3" t="s">
        <v>128</v>
      </c>
      <c r="B253" s="3" t="s">
        <v>20</v>
      </c>
      <c r="C253" s="3" t="s">
        <v>101</v>
      </c>
      <c r="D253" s="3">
        <v>37</v>
      </c>
      <c r="E253" s="3">
        <v>30</v>
      </c>
      <c r="F253" s="3">
        <v>2609</v>
      </c>
      <c r="G253" s="3">
        <v>12</v>
      </c>
      <c r="H253" s="3">
        <v>13</v>
      </c>
      <c r="I253" s="3">
        <f t="shared" si="104"/>
        <v>25</v>
      </c>
      <c r="J253" s="3">
        <f t="shared" si="105"/>
        <v>10</v>
      </c>
      <c r="K253" s="3">
        <v>2</v>
      </c>
      <c r="L253" s="3">
        <v>3</v>
      </c>
      <c r="M253" s="4">
        <f t="shared" si="106"/>
        <v>0.13333333333333333</v>
      </c>
      <c r="N253" s="4">
        <f t="shared" si="107"/>
        <v>0.14444444444444443</v>
      </c>
      <c r="O253" s="4">
        <f t="shared" si="108"/>
        <v>0.27777777777777779</v>
      </c>
      <c r="P253" s="5">
        <f t="shared" si="109"/>
        <v>0.13875445407647716</v>
      </c>
      <c r="Q253" s="5">
        <f t="shared" si="110"/>
        <v>0.21186440677966101</v>
      </c>
      <c r="R253" s="5">
        <f>K253/L253</f>
        <v>0.66666666666666663</v>
      </c>
    </row>
    <row r="254" spans="1:18" x14ac:dyDescent="0.3">
      <c r="A254" s="3" t="s">
        <v>128</v>
      </c>
      <c r="B254" s="3" t="s">
        <v>20</v>
      </c>
      <c r="C254" s="3" t="s">
        <v>131</v>
      </c>
      <c r="D254" s="3">
        <v>37</v>
      </c>
      <c r="E254" s="3">
        <v>16</v>
      </c>
      <c r="F254" s="3">
        <v>1387</v>
      </c>
      <c r="G254" s="3">
        <v>9</v>
      </c>
      <c r="H254" s="3">
        <v>2</v>
      </c>
      <c r="I254" s="3">
        <f t="shared" si="104"/>
        <v>11</v>
      </c>
      <c r="J254" s="3">
        <f t="shared" si="105"/>
        <v>9</v>
      </c>
      <c r="K254" s="3">
        <v>0</v>
      </c>
      <c r="L254" s="3">
        <v>0</v>
      </c>
      <c r="M254" s="4">
        <f t="shared" si="106"/>
        <v>0.1</v>
      </c>
      <c r="N254" s="4">
        <f t="shared" si="107"/>
        <v>2.2222222222222223E-2</v>
      </c>
      <c r="O254" s="4">
        <f t="shared" si="108"/>
        <v>0.12222222222222222</v>
      </c>
      <c r="P254" s="5">
        <f t="shared" si="109"/>
        <v>7.3764824762006062E-2</v>
      </c>
      <c r="Q254" s="5">
        <f t="shared" si="110"/>
        <v>9.3220338983050849E-2</v>
      </c>
      <c r="R254" s="5"/>
    </row>
    <row r="255" spans="1:18" x14ac:dyDescent="0.3">
      <c r="A255" s="3" t="s">
        <v>128</v>
      </c>
      <c r="B255" s="3" t="s">
        <v>20</v>
      </c>
      <c r="C255" s="3" t="s">
        <v>36</v>
      </c>
      <c r="D255" s="3">
        <v>27</v>
      </c>
      <c r="E255" s="3">
        <v>13</v>
      </c>
      <c r="F255" s="3">
        <v>1207</v>
      </c>
      <c r="G255" s="3">
        <v>7</v>
      </c>
      <c r="H255" s="3">
        <v>2</v>
      </c>
      <c r="I255" s="3">
        <f t="shared" si="104"/>
        <v>9</v>
      </c>
      <c r="J255" s="3">
        <f t="shared" si="105"/>
        <v>7</v>
      </c>
      <c r="K255" s="3">
        <v>0</v>
      </c>
      <c r="L255" s="3">
        <v>0</v>
      </c>
      <c r="M255" s="4">
        <f t="shared" si="106"/>
        <v>7.7777777777777779E-2</v>
      </c>
      <c r="N255" s="4">
        <f t="shared" si="107"/>
        <v>2.2222222222222223E-2</v>
      </c>
      <c r="O255" s="4">
        <f t="shared" si="108"/>
        <v>0.1</v>
      </c>
      <c r="P255" s="5">
        <f t="shared" si="109"/>
        <v>6.4191884273786096E-2</v>
      </c>
      <c r="Q255" s="5">
        <f t="shared" si="110"/>
        <v>7.6271186440677971E-2</v>
      </c>
      <c r="R255" s="5"/>
    </row>
    <row r="256" spans="1:18" x14ac:dyDescent="0.3">
      <c r="A256" s="3" t="s">
        <v>128</v>
      </c>
      <c r="B256" s="3" t="s">
        <v>20</v>
      </c>
      <c r="C256" s="3" t="s">
        <v>33</v>
      </c>
      <c r="D256" s="3">
        <v>28</v>
      </c>
      <c r="E256" s="3">
        <v>13</v>
      </c>
      <c r="F256" s="3">
        <v>1147</v>
      </c>
      <c r="G256" s="3">
        <v>1</v>
      </c>
      <c r="H256" s="3">
        <v>5</v>
      </c>
      <c r="I256" s="3">
        <f t="shared" si="104"/>
        <v>6</v>
      </c>
      <c r="J256" s="3">
        <f t="shared" si="105"/>
        <v>1</v>
      </c>
      <c r="K256" s="3">
        <v>0</v>
      </c>
      <c r="L256" s="3">
        <v>1</v>
      </c>
      <c r="M256" s="4">
        <f t="shared" si="106"/>
        <v>1.1111111111111112E-2</v>
      </c>
      <c r="N256" s="4">
        <f t="shared" si="107"/>
        <v>5.5555555555555552E-2</v>
      </c>
      <c r="O256" s="4">
        <f t="shared" si="108"/>
        <v>6.6666666666666666E-2</v>
      </c>
      <c r="P256" s="5">
        <f t="shared" si="109"/>
        <v>6.1000904111046111E-2</v>
      </c>
      <c r="Q256" s="5">
        <f t="shared" si="110"/>
        <v>5.0847457627118647E-2</v>
      </c>
      <c r="R256" s="5">
        <f>K256/L256</f>
        <v>0</v>
      </c>
    </row>
    <row r="257" spans="1:18" x14ac:dyDescent="0.3">
      <c r="A257" s="1" t="s">
        <v>128</v>
      </c>
      <c r="B257" s="1" t="s">
        <v>26</v>
      </c>
      <c r="C257" s="1" t="s">
        <v>103</v>
      </c>
      <c r="D257" s="1">
        <v>44</v>
      </c>
      <c r="E257" s="1">
        <v>41</v>
      </c>
      <c r="F257" s="1">
        <v>3631</v>
      </c>
      <c r="G257" s="1">
        <v>15</v>
      </c>
      <c r="H257" s="1">
        <v>11</v>
      </c>
      <c r="I257" s="1">
        <f t="shared" si="104"/>
        <v>26</v>
      </c>
      <c r="J257" s="1">
        <f t="shared" si="105"/>
        <v>11</v>
      </c>
      <c r="K257" s="1">
        <v>4</v>
      </c>
      <c r="L257" s="1">
        <v>5</v>
      </c>
      <c r="M257" s="10">
        <f t="shared" si="106"/>
        <v>0.16666666666666666</v>
      </c>
      <c r="N257" s="10">
        <f t="shared" si="107"/>
        <v>0.12222222222222222</v>
      </c>
      <c r="O257" s="10">
        <f t="shared" si="108"/>
        <v>0.28888888888888886</v>
      </c>
      <c r="P257" s="7">
        <f t="shared" ref="P257:P262" si="111">F257/$F$324</f>
        <v>0.2962630548302872</v>
      </c>
      <c r="Q257" s="7">
        <f t="shared" ref="Q257:Q262" si="112">I257/$I$324</f>
        <v>0.30232558139534882</v>
      </c>
      <c r="R257" s="7">
        <f>K257/L257</f>
        <v>0.8</v>
      </c>
    </row>
    <row r="258" spans="1:18" x14ac:dyDescent="0.3">
      <c r="A258" s="1" t="s">
        <v>128</v>
      </c>
      <c r="B258" s="1" t="s">
        <v>26</v>
      </c>
      <c r="C258" s="1" t="s">
        <v>132</v>
      </c>
      <c r="D258" s="1">
        <v>44</v>
      </c>
      <c r="E258" s="1">
        <v>32</v>
      </c>
      <c r="F258" s="1">
        <v>2790</v>
      </c>
      <c r="G258" s="1">
        <v>6</v>
      </c>
      <c r="H258" s="1">
        <v>6</v>
      </c>
      <c r="I258" s="1">
        <f t="shared" si="104"/>
        <v>12</v>
      </c>
      <c r="J258" s="1">
        <f t="shared" si="105"/>
        <v>6</v>
      </c>
      <c r="K258" s="1">
        <v>0</v>
      </c>
      <c r="L258" s="1">
        <v>0</v>
      </c>
      <c r="M258" s="10">
        <f t="shared" si="106"/>
        <v>6.6666666666666666E-2</v>
      </c>
      <c r="N258" s="10">
        <f t="shared" si="107"/>
        <v>6.6666666666666666E-2</v>
      </c>
      <c r="O258" s="10">
        <f t="shared" si="108"/>
        <v>0.13333333333333333</v>
      </c>
      <c r="P258" s="7">
        <f t="shared" si="111"/>
        <v>0.22764360313315926</v>
      </c>
      <c r="Q258" s="7">
        <f t="shared" si="112"/>
        <v>0.13953488372093023</v>
      </c>
      <c r="R258" s="7"/>
    </row>
    <row r="259" spans="1:18" x14ac:dyDescent="0.3">
      <c r="A259" s="1" t="s">
        <v>128</v>
      </c>
      <c r="B259" s="1" t="s">
        <v>26</v>
      </c>
      <c r="C259" s="1" t="s">
        <v>121</v>
      </c>
      <c r="D259" s="1">
        <v>33</v>
      </c>
      <c r="E259" s="1">
        <v>30</v>
      </c>
      <c r="F259" s="1">
        <v>2389</v>
      </c>
      <c r="G259" s="1">
        <v>13</v>
      </c>
      <c r="H259" s="1">
        <v>5</v>
      </c>
      <c r="I259" s="1">
        <f t="shared" si="104"/>
        <v>18</v>
      </c>
      <c r="J259" s="1">
        <f t="shared" si="105"/>
        <v>13</v>
      </c>
      <c r="K259" s="1">
        <v>0</v>
      </c>
      <c r="L259" s="1">
        <v>0</v>
      </c>
      <c r="M259" s="10">
        <f t="shared" si="106"/>
        <v>0.14444444444444443</v>
      </c>
      <c r="N259" s="10">
        <f t="shared" si="107"/>
        <v>5.5555555555555552E-2</v>
      </c>
      <c r="O259" s="10">
        <f t="shared" si="108"/>
        <v>0.2</v>
      </c>
      <c r="P259" s="7">
        <f t="shared" si="111"/>
        <v>0.19492493472584857</v>
      </c>
      <c r="Q259" s="7">
        <f t="shared" si="112"/>
        <v>0.20930232558139536</v>
      </c>
      <c r="R259" s="7"/>
    </row>
    <row r="260" spans="1:18" x14ac:dyDescent="0.3">
      <c r="A260" s="1" t="s">
        <v>128</v>
      </c>
      <c r="B260" s="1" t="s">
        <v>26</v>
      </c>
      <c r="C260" s="1" t="s">
        <v>123</v>
      </c>
      <c r="D260" s="1">
        <v>40</v>
      </c>
      <c r="E260" s="1">
        <v>20</v>
      </c>
      <c r="F260" s="1">
        <v>1899</v>
      </c>
      <c r="G260" s="1">
        <v>12</v>
      </c>
      <c r="H260" s="1">
        <v>5</v>
      </c>
      <c r="I260" s="1">
        <f t="shared" si="104"/>
        <v>17</v>
      </c>
      <c r="J260" s="1">
        <f t="shared" si="105"/>
        <v>10</v>
      </c>
      <c r="K260" s="1">
        <v>2</v>
      </c>
      <c r="L260" s="1">
        <v>4</v>
      </c>
      <c r="M260" s="10">
        <f t="shared" si="106"/>
        <v>0.13333333333333333</v>
      </c>
      <c r="N260" s="10">
        <f t="shared" si="107"/>
        <v>5.5555555555555552E-2</v>
      </c>
      <c r="O260" s="10">
        <f t="shared" si="108"/>
        <v>0.18888888888888888</v>
      </c>
      <c r="P260" s="7">
        <f t="shared" si="111"/>
        <v>0.15494451697127937</v>
      </c>
      <c r="Q260" s="7">
        <f t="shared" si="112"/>
        <v>0.19767441860465115</v>
      </c>
      <c r="R260" s="7">
        <f>K260/L260</f>
        <v>0.5</v>
      </c>
    </row>
    <row r="261" spans="1:18" x14ac:dyDescent="0.3">
      <c r="A261" s="1" t="s">
        <v>128</v>
      </c>
      <c r="B261" s="1" t="s">
        <v>26</v>
      </c>
      <c r="C261" s="1" t="s">
        <v>133</v>
      </c>
      <c r="D261" s="1">
        <v>23</v>
      </c>
      <c r="E261" s="1">
        <v>10</v>
      </c>
      <c r="F261" s="1">
        <v>1083</v>
      </c>
      <c r="G261" s="1">
        <v>2</v>
      </c>
      <c r="H261" s="1">
        <v>5</v>
      </c>
      <c r="I261" s="1">
        <f t="shared" si="104"/>
        <v>7</v>
      </c>
      <c r="J261" s="1">
        <f t="shared" si="105"/>
        <v>2</v>
      </c>
      <c r="K261" s="1">
        <v>0</v>
      </c>
      <c r="L261" s="1">
        <v>0</v>
      </c>
      <c r="M261" s="10">
        <f t="shared" si="106"/>
        <v>2.2222222222222223E-2</v>
      </c>
      <c r="N261" s="10">
        <f t="shared" si="107"/>
        <v>5.5555555555555552E-2</v>
      </c>
      <c r="O261" s="10">
        <f t="shared" si="108"/>
        <v>7.7777777777777779E-2</v>
      </c>
      <c r="P261" s="7">
        <f t="shared" si="111"/>
        <v>8.8364882506527409E-2</v>
      </c>
      <c r="Q261" s="7">
        <f t="shared" si="112"/>
        <v>8.1395348837209308E-2</v>
      </c>
      <c r="R261" s="7"/>
    </row>
    <row r="262" spans="1:18" x14ac:dyDescent="0.3">
      <c r="A262" s="1" t="s">
        <v>128</v>
      </c>
      <c r="B262" s="1" t="s">
        <v>26</v>
      </c>
      <c r="C262" s="1" t="s">
        <v>134</v>
      </c>
      <c r="D262" s="1">
        <v>12</v>
      </c>
      <c r="E262" s="1">
        <v>5</v>
      </c>
      <c r="F262" s="1">
        <v>464</v>
      </c>
      <c r="G262" s="1">
        <v>6</v>
      </c>
      <c r="H262" s="1">
        <v>0</v>
      </c>
      <c r="I262" s="1">
        <f t="shared" si="104"/>
        <v>6</v>
      </c>
      <c r="J262" s="1">
        <f t="shared" si="105"/>
        <v>6</v>
      </c>
      <c r="K262" s="1">
        <v>0</v>
      </c>
      <c r="L262" s="1">
        <v>0</v>
      </c>
      <c r="M262" s="10">
        <f t="shared" si="106"/>
        <v>6.6666666666666666E-2</v>
      </c>
      <c r="N262" s="10">
        <f t="shared" si="107"/>
        <v>0</v>
      </c>
      <c r="O262" s="10">
        <f t="shared" si="108"/>
        <v>6.6666666666666666E-2</v>
      </c>
      <c r="P262" s="7">
        <f t="shared" si="111"/>
        <v>3.7859007832898174E-2</v>
      </c>
      <c r="Q262" s="7">
        <f t="shared" si="112"/>
        <v>6.9767441860465115E-2</v>
      </c>
      <c r="R262" s="7"/>
    </row>
    <row r="263" spans="1:18" x14ac:dyDescent="0.3">
      <c r="A263" s="3" t="s">
        <v>128</v>
      </c>
      <c r="B263" s="3" t="s">
        <v>32</v>
      </c>
      <c r="C263" s="3" t="s">
        <v>114</v>
      </c>
      <c r="D263" s="3">
        <v>44</v>
      </c>
      <c r="E263" s="3">
        <v>43</v>
      </c>
      <c r="F263" s="3">
        <v>3777</v>
      </c>
      <c r="G263" s="3">
        <v>31</v>
      </c>
      <c r="H263" s="3">
        <v>4</v>
      </c>
      <c r="I263" s="3">
        <f t="shared" si="104"/>
        <v>35</v>
      </c>
      <c r="J263" s="3">
        <f t="shared" si="105"/>
        <v>26</v>
      </c>
      <c r="K263" s="3">
        <v>5</v>
      </c>
      <c r="L263" s="3">
        <v>8</v>
      </c>
      <c r="M263" s="4">
        <f t="shared" si="106"/>
        <v>0.34444444444444444</v>
      </c>
      <c r="N263" s="4">
        <f t="shared" si="107"/>
        <v>4.4444444444444446E-2</v>
      </c>
      <c r="O263" s="4">
        <f t="shared" si="108"/>
        <v>0.3888888888888889</v>
      </c>
      <c r="P263" s="5">
        <f>F263/$F$325</f>
        <v>0.30295981390871901</v>
      </c>
      <c r="Q263" s="5">
        <f>I263/$I$325</f>
        <v>0.44303797468354428</v>
      </c>
      <c r="R263" s="5">
        <f>K263/L263</f>
        <v>0.625</v>
      </c>
    </row>
    <row r="264" spans="1:18" x14ac:dyDescent="0.3">
      <c r="A264" s="3" t="s">
        <v>128</v>
      </c>
      <c r="B264" s="3" t="s">
        <v>32</v>
      </c>
      <c r="C264" s="3" t="s">
        <v>84</v>
      </c>
      <c r="D264" s="3">
        <v>45</v>
      </c>
      <c r="E264" s="3">
        <v>31</v>
      </c>
      <c r="F264" s="3">
        <v>2841</v>
      </c>
      <c r="G264" s="3">
        <v>10</v>
      </c>
      <c r="H264" s="3">
        <v>5</v>
      </c>
      <c r="I264" s="3">
        <f t="shared" si="104"/>
        <v>15</v>
      </c>
      <c r="J264" s="3">
        <f t="shared" si="105"/>
        <v>10</v>
      </c>
      <c r="K264" s="3">
        <v>0</v>
      </c>
      <c r="L264" s="3">
        <v>0</v>
      </c>
      <c r="M264" s="4">
        <f t="shared" si="106"/>
        <v>0.1111111111111111</v>
      </c>
      <c r="N264" s="4">
        <f t="shared" si="107"/>
        <v>5.5555555555555552E-2</v>
      </c>
      <c r="O264" s="4">
        <f t="shared" si="108"/>
        <v>0.16666666666666666</v>
      </c>
      <c r="P264" s="5">
        <f>F264/$F$325</f>
        <v>0.22788160744365124</v>
      </c>
      <c r="Q264" s="5">
        <f>I264/$I$325</f>
        <v>0.189873417721519</v>
      </c>
      <c r="R264" s="5"/>
    </row>
    <row r="265" spans="1:18" x14ac:dyDescent="0.3">
      <c r="A265" s="3" t="s">
        <v>128</v>
      </c>
      <c r="B265" s="3" t="s">
        <v>32</v>
      </c>
      <c r="C265" s="3" t="s">
        <v>135</v>
      </c>
      <c r="D265" s="3">
        <v>45</v>
      </c>
      <c r="E265" s="3">
        <v>33</v>
      </c>
      <c r="F265" s="3">
        <v>2776</v>
      </c>
      <c r="G265" s="3">
        <v>2</v>
      </c>
      <c r="H265" s="3">
        <v>10</v>
      </c>
      <c r="I265" s="3">
        <f t="shared" si="104"/>
        <v>12</v>
      </c>
      <c r="J265" s="3">
        <f t="shared" si="105"/>
        <v>2</v>
      </c>
      <c r="K265" s="3">
        <v>0</v>
      </c>
      <c r="L265" s="3">
        <v>0</v>
      </c>
      <c r="M265" s="4">
        <f t="shared" si="106"/>
        <v>2.2222222222222223E-2</v>
      </c>
      <c r="N265" s="4">
        <f t="shared" si="107"/>
        <v>0.1111111111111111</v>
      </c>
      <c r="O265" s="4">
        <f t="shared" si="108"/>
        <v>0.13333333333333333</v>
      </c>
      <c r="P265" s="5">
        <f>F265/$F$325</f>
        <v>0.22266784310579932</v>
      </c>
      <c r="Q265" s="5">
        <f>I265/$I$325</f>
        <v>0.15189873417721519</v>
      </c>
      <c r="R265" s="5"/>
    </row>
    <row r="266" spans="1:18" x14ac:dyDescent="0.3">
      <c r="A266" s="3" t="s">
        <v>128</v>
      </c>
      <c r="B266" s="3" t="s">
        <v>32</v>
      </c>
      <c r="C266" s="3" t="s">
        <v>136</v>
      </c>
      <c r="D266" s="3">
        <v>22</v>
      </c>
      <c r="E266" s="3">
        <v>18</v>
      </c>
      <c r="F266" s="3">
        <v>1547</v>
      </c>
      <c r="G266" s="3">
        <v>8</v>
      </c>
      <c r="H266" s="3">
        <v>1</v>
      </c>
      <c r="I266" s="3">
        <f t="shared" si="104"/>
        <v>9</v>
      </c>
      <c r="J266" s="3">
        <f t="shared" si="105"/>
        <v>8</v>
      </c>
      <c r="K266" s="3">
        <v>0</v>
      </c>
      <c r="L266" s="3">
        <v>0</v>
      </c>
      <c r="M266" s="4">
        <f t="shared" si="106"/>
        <v>8.8888888888888892E-2</v>
      </c>
      <c r="N266" s="4">
        <f t="shared" si="107"/>
        <v>1.1111111111111112E-2</v>
      </c>
      <c r="O266" s="4">
        <f t="shared" si="108"/>
        <v>0.1</v>
      </c>
      <c r="P266" s="5">
        <f>F266/$F$325</f>
        <v>0.12408759124087591</v>
      </c>
      <c r="Q266" s="5">
        <f>I266/$I$325</f>
        <v>0.11392405063291139</v>
      </c>
      <c r="R266" s="5"/>
    </row>
    <row r="267" spans="1:18" x14ac:dyDescent="0.3">
      <c r="A267" s="3" t="s">
        <v>128</v>
      </c>
      <c r="B267" s="3" t="s">
        <v>32</v>
      </c>
      <c r="C267" s="3" t="s">
        <v>102</v>
      </c>
      <c r="D267" s="3">
        <v>32</v>
      </c>
      <c r="E267" s="3">
        <v>16</v>
      </c>
      <c r="F267" s="3">
        <v>1526</v>
      </c>
      <c r="G267" s="3">
        <v>3</v>
      </c>
      <c r="H267" s="3">
        <v>5</v>
      </c>
      <c r="I267" s="3">
        <f t="shared" si="104"/>
        <v>8</v>
      </c>
      <c r="J267" s="3">
        <f t="shared" si="105"/>
        <v>2</v>
      </c>
      <c r="K267" s="3">
        <v>1</v>
      </c>
      <c r="L267" s="3">
        <v>1</v>
      </c>
      <c r="M267" s="4">
        <f t="shared" si="106"/>
        <v>3.3333333333333333E-2</v>
      </c>
      <c r="N267" s="4">
        <f t="shared" si="107"/>
        <v>5.5555555555555552E-2</v>
      </c>
      <c r="O267" s="4">
        <f t="shared" si="108"/>
        <v>8.8888888888888892E-2</v>
      </c>
      <c r="P267" s="5">
        <f>F267/$F$325</f>
        <v>0.12240314430095452</v>
      </c>
      <c r="Q267" s="5">
        <f>I267/$I$325</f>
        <v>0.10126582278481013</v>
      </c>
      <c r="R267" s="5">
        <f>K267/L267</f>
        <v>1</v>
      </c>
    </row>
    <row r="268" spans="1:18" x14ac:dyDescent="0.3">
      <c r="A268" s="1" t="s">
        <v>128</v>
      </c>
      <c r="B268" s="1" t="s">
        <v>38</v>
      </c>
      <c r="C268" s="1" t="s">
        <v>117</v>
      </c>
      <c r="D268" s="1">
        <v>58</v>
      </c>
      <c r="E268" s="1">
        <v>36</v>
      </c>
      <c r="F268" s="1">
        <v>3571</v>
      </c>
      <c r="G268" s="1">
        <v>11</v>
      </c>
      <c r="H268" s="1">
        <v>10</v>
      </c>
      <c r="I268" s="1">
        <f t="shared" si="104"/>
        <v>21</v>
      </c>
      <c r="J268" s="1">
        <f t="shared" si="105"/>
        <v>11</v>
      </c>
      <c r="K268" s="1">
        <v>0</v>
      </c>
      <c r="L268" s="1">
        <v>0</v>
      </c>
      <c r="M268" s="10">
        <f t="shared" si="106"/>
        <v>0.12222222222222222</v>
      </c>
      <c r="N268" s="10">
        <f t="shared" si="107"/>
        <v>0.1111111111111111</v>
      </c>
      <c r="O268" s="10">
        <f t="shared" si="108"/>
        <v>0.23333333333333334</v>
      </c>
      <c r="P268" s="7">
        <f>F268/$F$326</f>
        <v>0.2774238657551274</v>
      </c>
      <c r="Q268" s="7">
        <f>I268/$I$326</f>
        <v>0.328125</v>
      </c>
    </row>
    <row r="269" spans="1:18" x14ac:dyDescent="0.3">
      <c r="A269" s="1" t="s">
        <v>128</v>
      </c>
      <c r="B269" s="1" t="s">
        <v>38</v>
      </c>
      <c r="C269" s="1" t="s">
        <v>125</v>
      </c>
      <c r="D269" s="1">
        <v>52</v>
      </c>
      <c r="E269" s="1">
        <v>38</v>
      </c>
      <c r="F269" s="1">
        <v>3309</v>
      </c>
      <c r="G269" s="1">
        <v>10</v>
      </c>
      <c r="H269" s="1">
        <v>2</v>
      </c>
      <c r="I269" s="1">
        <f t="shared" si="104"/>
        <v>12</v>
      </c>
      <c r="J269" s="1">
        <f t="shared" si="105"/>
        <v>10</v>
      </c>
      <c r="K269" s="1">
        <v>0</v>
      </c>
      <c r="L269" s="1">
        <v>0</v>
      </c>
      <c r="M269" s="10">
        <f t="shared" si="106"/>
        <v>0.1111111111111111</v>
      </c>
      <c r="N269" s="10">
        <f t="shared" si="107"/>
        <v>2.2222222222222223E-2</v>
      </c>
      <c r="O269" s="10">
        <f t="shared" si="108"/>
        <v>0.13333333333333333</v>
      </c>
      <c r="P269" s="7">
        <f t="shared" ref="P269:P272" si="113">F269/$F$326</f>
        <v>0.25706960845245497</v>
      </c>
      <c r="Q269" s="7">
        <f t="shared" ref="Q269:Q272" si="114">I269/$I$326</f>
        <v>0.1875</v>
      </c>
    </row>
    <row r="270" spans="1:18" x14ac:dyDescent="0.3">
      <c r="A270" s="1" t="s">
        <v>128</v>
      </c>
      <c r="B270" s="1" t="s">
        <v>38</v>
      </c>
      <c r="C270" s="1" t="s">
        <v>139</v>
      </c>
      <c r="D270" s="1">
        <v>43</v>
      </c>
      <c r="E270" s="1">
        <v>28</v>
      </c>
      <c r="F270" s="1">
        <v>2757</v>
      </c>
      <c r="G270" s="1">
        <v>11</v>
      </c>
      <c r="H270" s="1">
        <v>8</v>
      </c>
      <c r="I270" s="1">
        <f t="shared" si="104"/>
        <v>19</v>
      </c>
      <c r="J270" s="1">
        <f t="shared" si="105"/>
        <v>11</v>
      </c>
      <c r="K270" s="1">
        <v>0</v>
      </c>
      <c r="L270" s="1">
        <v>0</v>
      </c>
      <c r="M270" s="10">
        <f t="shared" si="106"/>
        <v>0.12222222222222222</v>
      </c>
      <c r="N270" s="10">
        <f t="shared" si="107"/>
        <v>8.8888888888888892E-2</v>
      </c>
      <c r="O270" s="10">
        <f t="shared" si="108"/>
        <v>0.21111111111111111</v>
      </c>
      <c r="P270" s="7">
        <f t="shared" si="113"/>
        <v>0.2141858297078931</v>
      </c>
      <c r="Q270" s="7">
        <f t="shared" si="114"/>
        <v>0.296875</v>
      </c>
    </row>
    <row r="271" spans="1:18" x14ac:dyDescent="0.3">
      <c r="A271" s="1" t="s">
        <v>128</v>
      </c>
      <c r="B271" s="1" t="s">
        <v>38</v>
      </c>
      <c r="C271" s="1" t="s">
        <v>137</v>
      </c>
      <c r="D271" s="1">
        <v>49</v>
      </c>
      <c r="E271" s="1">
        <v>22</v>
      </c>
      <c r="F271" s="1">
        <v>2266</v>
      </c>
      <c r="G271" s="1">
        <v>7</v>
      </c>
      <c r="H271" s="1">
        <v>2</v>
      </c>
      <c r="I271" s="1">
        <f t="shared" si="104"/>
        <v>9</v>
      </c>
      <c r="J271" s="1">
        <f t="shared" si="105"/>
        <v>7</v>
      </c>
      <c r="K271" s="1">
        <v>0</v>
      </c>
      <c r="L271" s="1">
        <v>0</v>
      </c>
      <c r="M271" s="10">
        <f t="shared" si="106"/>
        <v>7.7777777777777779E-2</v>
      </c>
      <c r="N271" s="10">
        <f t="shared" si="107"/>
        <v>2.2222222222222223E-2</v>
      </c>
      <c r="O271" s="10">
        <f t="shared" si="108"/>
        <v>0.1</v>
      </c>
      <c r="P271" s="7">
        <f t="shared" si="113"/>
        <v>0.17604101926662524</v>
      </c>
      <c r="Q271" s="7">
        <f t="shared" si="114"/>
        <v>0.140625</v>
      </c>
    </row>
    <row r="272" spans="1:18" x14ac:dyDescent="0.3">
      <c r="A272" s="1" t="s">
        <v>128</v>
      </c>
      <c r="B272" s="1" t="s">
        <v>38</v>
      </c>
      <c r="C272" s="1" t="s">
        <v>138</v>
      </c>
      <c r="D272" s="1">
        <v>27</v>
      </c>
      <c r="E272" s="1">
        <v>11</v>
      </c>
      <c r="F272" s="1">
        <v>969</v>
      </c>
      <c r="G272" s="1">
        <v>3</v>
      </c>
      <c r="H272" s="1">
        <v>0</v>
      </c>
      <c r="I272" s="1">
        <f t="shared" si="104"/>
        <v>3</v>
      </c>
      <c r="J272" s="1">
        <f t="shared" si="105"/>
        <v>3</v>
      </c>
      <c r="K272" s="1">
        <v>0</v>
      </c>
      <c r="L272" s="1">
        <v>0</v>
      </c>
      <c r="M272" s="10">
        <f t="shared" si="106"/>
        <v>3.3333333333333333E-2</v>
      </c>
      <c r="N272" s="10">
        <f t="shared" si="107"/>
        <v>0</v>
      </c>
      <c r="O272" s="10">
        <f t="shared" si="108"/>
        <v>3.3333333333333333E-2</v>
      </c>
      <c r="P272" s="7">
        <f t="shared" si="113"/>
        <v>7.5279676817899321E-2</v>
      </c>
      <c r="Q272" s="7">
        <f t="shared" si="114"/>
        <v>4.6875E-2</v>
      </c>
    </row>
    <row r="273" spans="1:18" x14ac:dyDescent="0.3">
      <c r="A273" s="3" t="s">
        <v>128</v>
      </c>
      <c r="B273" s="3" t="s">
        <v>46</v>
      </c>
      <c r="C273" s="3" t="s">
        <v>106</v>
      </c>
      <c r="D273" s="3">
        <v>32</v>
      </c>
      <c r="E273" s="3">
        <v>27</v>
      </c>
      <c r="F273" s="3">
        <v>2389</v>
      </c>
      <c r="G273" s="3">
        <v>7</v>
      </c>
      <c r="H273" s="3">
        <v>4</v>
      </c>
      <c r="I273" s="3">
        <f t="shared" si="104"/>
        <v>11</v>
      </c>
      <c r="J273" s="3">
        <f t="shared" si="105"/>
        <v>7</v>
      </c>
      <c r="K273" s="3">
        <v>0</v>
      </c>
      <c r="L273" s="3">
        <v>0</v>
      </c>
      <c r="M273" s="4">
        <f t="shared" si="106"/>
        <v>7.7777777777777779E-2</v>
      </c>
      <c r="N273" s="4">
        <f t="shared" si="107"/>
        <v>4.4444444444444446E-2</v>
      </c>
      <c r="O273" s="4">
        <f t="shared" si="108"/>
        <v>0.12222222222222222</v>
      </c>
      <c r="P273" s="13">
        <f>F273/$F$327</f>
        <v>0.25433833705951242</v>
      </c>
      <c r="Q273" s="13">
        <f>I273/$I$327</f>
        <v>0.19642857142857142</v>
      </c>
      <c r="R273" s="3"/>
    </row>
    <row r="274" spans="1:18" x14ac:dyDescent="0.3">
      <c r="A274" s="3" t="s">
        <v>128</v>
      </c>
      <c r="B274" s="3" t="s">
        <v>46</v>
      </c>
      <c r="C274" s="3" t="s">
        <v>17</v>
      </c>
      <c r="D274" s="3">
        <v>27</v>
      </c>
      <c r="E274" s="3">
        <v>25</v>
      </c>
      <c r="F274" s="3">
        <v>2201</v>
      </c>
      <c r="G274" s="3">
        <v>9</v>
      </c>
      <c r="H274" s="3">
        <v>3</v>
      </c>
      <c r="I274" s="3">
        <f t="shared" si="104"/>
        <v>12</v>
      </c>
      <c r="J274" s="3">
        <f t="shared" si="105"/>
        <v>8</v>
      </c>
      <c r="K274" s="3">
        <v>1</v>
      </c>
      <c r="L274" s="3">
        <v>1</v>
      </c>
      <c r="M274" s="4">
        <f t="shared" si="106"/>
        <v>0.1</v>
      </c>
      <c r="N274" s="4">
        <f t="shared" si="107"/>
        <v>3.3333333333333333E-2</v>
      </c>
      <c r="O274" s="4">
        <f t="shared" si="108"/>
        <v>0.13333333333333333</v>
      </c>
      <c r="P274" s="13">
        <f t="shared" ref="P274:P277" si="115">F274/$F$327</f>
        <v>0.23432343234323433</v>
      </c>
      <c r="Q274" s="13">
        <f t="shared" ref="Q274:Q277" si="116">I274/$I$327</f>
        <v>0.21428571428571427</v>
      </c>
      <c r="R274" s="5">
        <f>Table1[[#This Row],[PK]]/Table1[[#This Row],[PKAtt]]</f>
        <v>1</v>
      </c>
    </row>
    <row r="275" spans="1:18" x14ac:dyDescent="0.3">
      <c r="A275" s="3" t="s">
        <v>128</v>
      </c>
      <c r="B275" s="3" t="s">
        <v>46</v>
      </c>
      <c r="C275" s="3" t="s">
        <v>127</v>
      </c>
      <c r="D275" s="3">
        <v>33</v>
      </c>
      <c r="E275" s="3">
        <v>24</v>
      </c>
      <c r="F275" s="3">
        <v>2177</v>
      </c>
      <c r="G275" s="3">
        <v>11</v>
      </c>
      <c r="H275" s="3">
        <v>3</v>
      </c>
      <c r="I275" s="3">
        <f t="shared" si="104"/>
        <v>14</v>
      </c>
      <c r="J275" s="3">
        <f t="shared" si="105"/>
        <v>11</v>
      </c>
      <c r="K275" s="3">
        <v>0</v>
      </c>
      <c r="L275" s="3">
        <v>0</v>
      </c>
      <c r="M275" s="4">
        <f t="shared" si="106"/>
        <v>0.12222222222222222</v>
      </c>
      <c r="N275" s="4">
        <f t="shared" si="107"/>
        <v>3.3333333333333333E-2</v>
      </c>
      <c r="O275" s="4">
        <f t="shared" si="108"/>
        <v>0.15555555555555556</v>
      </c>
      <c r="P275" s="13">
        <f t="shared" si="115"/>
        <v>0.231768338124135</v>
      </c>
      <c r="Q275" s="13">
        <f t="shared" si="116"/>
        <v>0.25</v>
      </c>
      <c r="R275" s="5"/>
    </row>
    <row r="276" spans="1:18" x14ac:dyDescent="0.3">
      <c r="A276" s="3" t="s">
        <v>128</v>
      </c>
      <c r="B276" s="3" t="s">
        <v>46</v>
      </c>
      <c r="C276" s="3" t="s">
        <v>49</v>
      </c>
      <c r="D276" s="3">
        <v>30</v>
      </c>
      <c r="E276" s="3">
        <v>24</v>
      </c>
      <c r="F276" s="3">
        <v>2110</v>
      </c>
      <c r="G276" s="3">
        <v>7</v>
      </c>
      <c r="H276" s="3">
        <v>9</v>
      </c>
      <c r="I276" s="3">
        <f t="shared" si="104"/>
        <v>16</v>
      </c>
      <c r="J276" s="3">
        <f t="shared" si="105"/>
        <v>6</v>
      </c>
      <c r="K276" s="3">
        <v>1</v>
      </c>
      <c r="L276" s="3">
        <v>2</v>
      </c>
      <c r="M276" s="4">
        <f t="shared" si="106"/>
        <v>7.7777777777777779E-2</v>
      </c>
      <c r="N276" s="4">
        <f t="shared" si="107"/>
        <v>0.1</v>
      </c>
      <c r="O276" s="4">
        <f t="shared" si="108"/>
        <v>0.17777777777777778</v>
      </c>
      <c r="P276" s="13">
        <f t="shared" si="115"/>
        <v>0.22463536676248269</v>
      </c>
      <c r="Q276" s="13">
        <f t="shared" si="116"/>
        <v>0.2857142857142857</v>
      </c>
      <c r="R276" s="5">
        <f>Table1[[#This Row],[PK]]/Table1[[#This Row],[PKAtt]]</f>
        <v>0.5</v>
      </c>
    </row>
    <row r="277" spans="1:18" x14ac:dyDescent="0.3">
      <c r="A277" s="3" t="s">
        <v>128</v>
      </c>
      <c r="B277" s="3" t="s">
        <v>46</v>
      </c>
      <c r="C277" s="3" t="s">
        <v>92</v>
      </c>
      <c r="D277" s="3">
        <v>18</v>
      </c>
      <c r="E277" s="3">
        <v>4</v>
      </c>
      <c r="F277" s="3">
        <v>516</v>
      </c>
      <c r="G277" s="3">
        <v>0</v>
      </c>
      <c r="H277" s="3">
        <v>3</v>
      </c>
      <c r="I277" s="3">
        <f t="shared" si="104"/>
        <v>3</v>
      </c>
      <c r="J277" s="3">
        <f t="shared" si="105"/>
        <v>0</v>
      </c>
      <c r="K277" s="3">
        <v>0</v>
      </c>
      <c r="L277" s="3">
        <v>0</v>
      </c>
      <c r="M277" s="4">
        <f t="shared" si="106"/>
        <v>0</v>
      </c>
      <c r="N277" s="4">
        <f t="shared" si="107"/>
        <v>3.3333333333333333E-2</v>
      </c>
      <c r="O277" s="4">
        <f t="shared" si="108"/>
        <v>3.3333333333333333E-2</v>
      </c>
      <c r="P277" s="13">
        <f t="shared" si="115"/>
        <v>5.4934525710635583E-2</v>
      </c>
      <c r="Q277" s="13">
        <f t="shared" si="116"/>
        <v>5.3571428571428568E-2</v>
      </c>
      <c r="R277" s="3"/>
    </row>
    <row r="280" spans="1:18" x14ac:dyDescent="0.3">
      <c r="A280" s="3" t="s">
        <v>12</v>
      </c>
      <c r="B280" s="3" t="s">
        <v>66</v>
      </c>
      <c r="C280" s="3" t="s">
        <v>67</v>
      </c>
      <c r="D280" s="3"/>
      <c r="E280" s="3"/>
      <c r="F280" s="3">
        <f t="shared" ref="F280:L280" si="117">SUM(F2:F7)</f>
        <v>12825</v>
      </c>
      <c r="G280" s="3">
        <f t="shared" si="117"/>
        <v>94</v>
      </c>
      <c r="H280" s="3">
        <f t="shared" si="117"/>
        <v>44</v>
      </c>
      <c r="I280" s="3">
        <f t="shared" si="117"/>
        <v>138</v>
      </c>
      <c r="J280" s="3">
        <f t="shared" si="117"/>
        <v>92</v>
      </c>
      <c r="K280" s="3">
        <f t="shared" si="117"/>
        <v>2</v>
      </c>
      <c r="L280" s="3">
        <f t="shared" si="117"/>
        <v>5</v>
      </c>
    </row>
    <row r="281" spans="1:18" x14ac:dyDescent="0.3">
      <c r="A281" s="3" t="s">
        <v>12</v>
      </c>
      <c r="B281" s="3" t="s">
        <v>69</v>
      </c>
      <c r="C281" s="3" t="s">
        <v>67</v>
      </c>
      <c r="D281" s="3"/>
      <c r="E281" s="3"/>
      <c r="F281" s="3">
        <f t="shared" ref="F281:L281" si="118">SUM(F8:F12)</f>
        <v>6217</v>
      </c>
      <c r="G281" s="3">
        <f t="shared" si="118"/>
        <v>40</v>
      </c>
      <c r="H281" s="3">
        <f t="shared" si="118"/>
        <v>14</v>
      </c>
      <c r="I281" s="3">
        <f t="shared" si="118"/>
        <v>54</v>
      </c>
      <c r="J281" s="3">
        <f t="shared" si="118"/>
        <v>34</v>
      </c>
      <c r="K281" s="3">
        <f t="shared" si="118"/>
        <v>6</v>
      </c>
      <c r="L281" s="3">
        <f t="shared" si="118"/>
        <v>7</v>
      </c>
    </row>
    <row r="282" spans="1:18" x14ac:dyDescent="0.3">
      <c r="A282" s="3" t="s">
        <v>12</v>
      </c>
      <c r="B282" s="3" t="s">
        <v>70</v>
      </c>
      <c r="C282" s="3" t="s">
        <v>67</v>
      </c>
      <c r="D282" s="3"/>
      <c r="E282" s="3"/>
      <c r="F282" s="3">
        <f t="shared" ref="F282:L282" si="119">SUM(F13:F18)</f>
        <v>11459</v>
      </c>
      <c r="G282" s="3">
        <f t="shared" si="119"/>
        <v>55</v>
      </c>
      <c r="H282" s="3">
        <f t="shared" si="119"/>
        <v>27</v>
      </c>
      <c r="I282" s="3">
        <f t="shared" si="119"/>
        <v>82</v>
      </c>
      <c r="J282" s="3">
        <f t="shared" si="119"/>
        <v>52</v>
      </c>
      <c r="K282" s="3">
        <f t="shared" si="119"/>
        <v>3</v>
      </c>
      <c r="L282" s="3">
        <f t="shared" si="119"/>
        <v>4</v>
      </c>
    </row>
    <row r="283" spans="1:18" x14ac:dyDescent="0.3">
      <c r="A283" s="3" t="s">
        <v>12</v>
      </c>
      <c r="B283" s="3" t="s">
        <v>71</v>
      </c>
      <c r="C283" s="3" t="s">
        <v>67</v>
      </c>
      <c r="D283" s="3"/>
      <c r="E283" s="3"/>
      <c r="F283" s="3">
        <f t="shared" ref="F283:L283" si="120">SUM(F19:F23)</f>
        <v>15499</v>
      </c>
      <c r="G283" s="3">
        <f t="shared" si="120"/>
        <v>93</v>
      </c>
      <c r="H283" s="3">
        <f t="shared" si="120"/>
        <v>53</v>
      </c>
      <c r="I283" s="3">
        <f t="shared" si="120"/>
        <v>146</v>
      </c>
      <c r="J283" s="3">
        <f t="shared" si="120"/>
        <v>87</v>
      </c>
      <c r="K283" s="3">
        <f t="shared" si="120"/>
        <v>6</v>
      </c>
      <c r="L283" s="3">
        <f t="shared" si="120"/>
        <v>9</v>
      </c>
    </row>
    <row r="284" spans="1:18" x14ac:dyDescent="0.3">
      <c r="A284" s="3" t="s">
        <v>12</v>
      </c>
      <c r="B284" s="3" t="s">
        <v>72</v>
      </c>
      <c r="C284" s="3" t="s">
        <v>67</v>
      </c>
      <c r="D284" s="3"/>
      <c r="E284" s="3"/>
      <c r="F284" s="3">
        <f t="shared" ref="F284:L284" si="121">SUM(F24:F30)</f>
        <v>16130</v>
      </c>
      <c r="G284" s="3">
        <f t="shared" si="121"/>
        <v>71</v>
      </c>
      <c r="H284" s="3">
        <f t="shared" si="121"/>
        <v>44</v>
      </c>
      <c r="I284" s="3">
        <f t="shared" si="121"/>
        <v>115</v>
      </c>
      <c r="J284" s="3">
        <f t="shared" si="121"/>
        <v>69</v>
      </c>
      <c r="K284" s="3">
        <f t="shared" si="121"/>
        <v>2</v>
      </c>
      <c r="L284" s="3">
        <f t="shared" si="121"/>
        <v>5</v>
      </c>
    </row>
    <row r="285" spans="1:18" x14ac:dyDescent="0.3">
      <c r="A285" s="3" t="s">
        <v>12</v>
      </c>
      <c r="B285" s="3" t="s">
        <v>73</v>
      </c>
      <c r="C285" s="3" t="s">
        <v>67</v>
      </c>
      <c r="D285" s="3"/>
      <c r="E285" s="3"/>
      <c r="F285" s="3">
        <f t="shared" ref="F285:L285" si="122">SUM(F31:F35)</f>
        <v>12539</v>
      </c>
      <c r="G285" s="3">
        <f t="shared" si="122"/>
        <v>79</v>
      </c>
      <c r="H285" s="3">
        <f t="shared" si="122"/>
        <v>34</v>
      </c>
      <c r="I285" s="3">
        <f t="shared" si="122"/>
        <v>113</v>
      </c>
      <c r="J285" s="3">
        <f t="shared" si="122"/>
        <v>76</v>
      </c>
      <c r="K285" s="3">
        <f t="shared" si="122"/>
        <v>3</v>
      </c>
      <c r="L285" s="3">
        <f t="shared" si="122"/>
        <v>4</v>
      </c>
    </row>
    <row r="286" spans="1:18" x14ac:dyDescent="0.3">
      <c r="A286" s="1" t="s">
        <v>53</v>
      </c>
      <c r="B286" s="1" t="s">
        <v>66</v>
      </c>
      <c r="C286" s="1" t="s">
        <v>67</v>
      </c>
      <c r="F286" s="1">
        <f t="shared" ref="F286:L286" si="123">SUM(F36:F40)</f>
        <v>13338</v>
      </c>
      <c r="G286" s="1">
        <f t="shared" si="123"/>
        <v>80</v>
      </c>
      <c r="H286" s="1">
        <f t="shared" si="123"/>
        <v>22</v>
      </c>
      <c r="I286" s="1">
        <f t="shared" si="123"/>
        <v>102</v>
      </c>
      <c r="J286" s="1">
        <f t="shared" si="123"/>
        <v>74</v>
      </c>
      <c r="K286" s="1">
        <f t="shared" si="123"/>
        <v>6</v>
      </c>
      <c r="L286" s="1">
        <f t="shared" si="123"/>
        <v>7</v>
      </c>
    </row>
    <row r="287" spans="1:18" x14ac:dyDescent="0.3">
      <c r="A287" s="1" t="s">
        <v>53</v>
      </c>
      <c r="B287" s="1" t="s">
        <v>69</v>
      </c>
      <c r="C287" s="1" t="s">
        <v>67</v>
      </c>
      <c r="F287" s="1">
        <f t="shared" ref="F287:L287" si="124">SUM(F41:F45)</f>
        <v>12882</v>
      </c>
      <c r="G287" s="1">
        <f t="shared" si="124"/>
        <v>63</v>
      </c>
      <c r="H287" s="1">
        <f t="shared" si="124"/>
        <v>33</v>
      </c>
      <c r="I287" s="1">
        <f t="shared" si="124"/>
        <v>96</v>
      </c>
      <c r="J287" s="1">
        <f t="shared" si="124"/>
        <v>59</v>
      </c>
      <c r="K287" s="1">
        <f t="shared" si="124"/>
        <v>4</v>
      </c>
      <c r="L287" s="1">
        <f t="shared" si="124"/>
        <v>5</v>
      </c>
    </row>
    <row r="288" spans="1:18" x14ac:dyDescent="0.3">
      <c r="A288" s="1" t="s">
        <v>53</v>
      </c>
      <c r="B288" s="1" t="s">
        <v>70</v>
      </c>
      <c r="C288" s="1" t="s">
        <v>67</v>
      </c>
      <c r="F288" s="1">
        <f t="shared" ref="F288:L288" si="125">SUM(F46:F52)</f>
        <v>16722</v>
      </c>
      <c r="G288" s="1">
        <f t="shared" si="125"/>
        <v>74</v>
      </c>
      <c r="H288" s="1">
        <f t="shared" si="125"/>
        <v>49</v>
      </c>
      <c r="I288" s="1">
        <f t="shared" si="125"/>
        <v>123</v>
      </c>
      <c r="J288" s="1">
        <f t="shared" si="125"/>
        <v>68</v>
      </c>
      <c r="K288" s="1">
        <f t="shared" si="125"/>
        <v>6</v>
      </c>
      <c r="L288" s="1">
        <f t="shared" si="125"/>
        <v>6</v>
      </c>
    </row>
    <row r="289" spans="1:12" x14ac:dyDescent="0.3">
      <c r="A289" s="1" t="s">
        <v>53</v>
      </c>
      <c r="B289" s="1" t="s">
        <v>71</v>
      </c>
      <c r="C289" s="1" t="s">
        <v>67</v>
      </c>
      <c r="F289" s="1">
        <f t="shared" ref="F289:L289" si="126">SUM(F53:F59)</f>
        <v>19287</v>
      </c>
      <c r="G289" s="1">
        <f t="shared" si="126"/>
        <v>121</v>
      </c>
      <c r="H289" s="1">
        <f t="shared" si="126"/>
        <v>73</v>
      </c>
      <c r="I289" s="1">
        <f t="shared" si="126"/>
        <v>194</v>
      </c>
      <c r="J289" s="1">
        <f t="shared" si="126"/>
        <v>114</v>
      </c>
      <c r="K289" s="1">
        <f t="shared" si="126"/>
        <v>7</v>
      </c>
      <c r="L289" s="1">
        <f t="shared" si="126"/>
        <v>10</v>
      </c>
    </row>
    <row r="290" spans="1:12" x14ac:dyDescent="0.3">
      <c r="A290" s="1" t="s">
        <v>53</v>
      </c>
      <c r="B290" s="1" t="s">
        <v>72</v>
      </c>
      <c r="C290" s="1" t="s">
        <v>67</v>
      </c>
      <c r="F290" s="1">
        <f t="shared" ref="F290:L290" si="127">SUM(F60:F64)</f>
        <v>11780</v>
      </c>
      <c r="G290" s="1">
        <f t="shared" si="127"/>
        <v>46</v>
      </c>
      <c r="H290" s="1">
        <f t="shared" si="127"/>
        <v>17</v>
      </c>
      <c r="I290" s="1">
        <f t="shared" si="127"/>
        <v>63</v>
      </c>
      <c r="J290" s="1">
        <f t="shared" si="127"/>
        <v>43</v>
      </c>
      <c r="K290" s="1">
        <f t="shared" si="127"/>
        <v>3</v>
      </c>
      <c r="L290" s="1">
        <f t="shared" si="127"/>
        <v>3</v>
      </c>
    </row>
    <row r="291" spans="1:12" x14ac:dyDescent="0.3">
      <c r="A291" s="1" t="s">
        <v>53</v>
      </c>
      <c r="B291" s="1" t="s">
        <v>73</v>
      </c>
      <c r="C291" s="1" t="s">
        <v>67</v>
      </c>
      <c r="F291" s="1">
        <f>SUM(F65:F69)</f>
        <v>12751</v>
      </c>
      <c r="G291" s="1">
        <f t="shared" ref="G291:L291" si="128">SUM(G65:G69)</f>
        <v>73</v>
      </c>
      <c r="H291" s="1">
        <f t="shared" si="128"/>
        <v>25</v>
      </c>
      <c r="I291" s="1">
        <f t="shared" si="128"/>
        <v>98</v>
      </c>
      <c r="J291" s="1">
        <f t="shared" si="128"/>
        <v>68</v>
      </c>
      <c r="K291" s="1">
        <f t="shared" si="128"/>
        <v>5</v>
      </c>
      <c r="L291" s="1">
        <f t="shared" si="128"/>
        <v>5</v>
      </c>
    </row>
    <row r="292" spans="1:12" x14ac:dyDescent="0.3">
      <c r="A292" s="3" t="s">
        <v>76</v>
      </c>
      <c r="B292" s="3" t="s">
        <v>66</v>
      </c>
      <c r="C292" s="3" t="s">
        <v>67</v>
      </c>
      <c r="D292" s="3"/>
      <c r="E292" s="3"/>
      <c r="F292" s="3">
        <f>SUM(F70:F76)</f>
        <v>14261</v>
      </c>
      <c r="G292" s="3">
        <f t="shared" ref="G292:L292" si="129">SUM(G70:G76)</f>
        <v>66</v>
      </c>
      <c r="H292" s="3">
        <f t="shared" si="129"/>
        <v>38</v>
      </c>
      <c r="I292" s="3">
        <f t="shared" si="129"/>
        <v>104</v>
      </c>
      <c r="J292" s="3">
        <f t="shared" si="129"/>
        <v>63</v>
      </c>
      <c r="K292" s="3">
        <f t="shared" si="129"/>
        <v>3</v>
      </c>
      <c r="L292" s="3">
        <f t="shared" si="129"/>
        <v>3</v>
      </c>
    </row>
    <row r="293" spans="1:12" x14ac:dyDescent="0.3">
      <c r="A293" s="3" t="s">
        <v>76</v>
      </c>
      <c r="B293" s="3" t="s">
        <v>69</v>
      </c>
      <c r="C293" s="3" t="s">
        <v>67</v>
      </c>
      <c r="D293" s="3"/>
      <c r="E293" s="3"/>
      <c r="F293" s="3">
        <f>SUM(F77:F81)</f>
        <v>10901</v>
      </c>
      <c r="G293" s="3">
        <f t="shared" ref="G293:L293" si="130">SUM(G77:G81)</f>
        <v>56</v>
      </c>
      <c r="H293" s="3">
        <f t="shared" si="130"/>
        <v>20</v>
      </c>
      <c r="I293" s="3">
        <f t="shared" si="130"/>
        <v>76</v>
      </c>
      <c r="J293" s="3">
        <f t="shared" si="130"/>
        <v>51</v>
      </c>
      <c r="K293" s="3">
        <f t="shared" si="130"/>
        <v>5</v>
      </c>
      <c r="L293" s="3">
        <f t="shared" si="130"/>
        <v>5</v>
      </c>
    </row>
    <row r="294" spans="1:12" x14ac:dyDescent="0.3">
      <c r="A294" s="3" t="s">
        <v>76</v>
      </c>
      <c r="B294" s="3" t="s">
        <v>70</v>
      </c>
      <c r="C294" s="3" t="s">
        <v>67</v>
      </c>
      <c r="D294" s="3"/>
      <c r="E294" s="3"/>
      <c r="F294" s="3">
        <f>SUM(F82:F88)</f>
        <v>13488</v>
      </c>
      <c r="G294" s="3">
        <f t="shared" ref="G294:L294" si="131">SUM(G82:G88)</f>
        <v>61</v>
      </c>
      <c r="H294" s="3">
        <f t="shared" si="131"/>
        <v>32</v>
      </c>
      <c r="I294" s="3">
        <f t="shared" si="131"/>
        <v>93</v>
      </c>
      <c r="J294" s="3">
        <f t="shared" si="131"/>
        <v>56</v>
      </c>
      <c r="K294" s="3">
        <f t="shared" si="131"/>
        <v>5</v>
      </c>
      <c r="L294" s="3">
        <f t="shared" si="131"/>
        <v>5</v>
      </c>
    </row>
    <row r="295" spans="1:12" x14ac:dyDescent="0.3">
      <c r="A295" s="3" t="s">
        <v>76</v>
      </c>
      <c r="B295" s="3" t="s">
        <v>71</v>
      </c>
      <c r="C295" s="3" t="s">
        <v>67</v>
      </c>
      <c r="D295" s="3"/>
      <c r="E295" s="3"/>
      <c r="F295" s="3">
        <f>SUM(F89:F94)</f>
        <v>17673</v>
      </c>
      <c r="G295" s="3">
        <f t="shared" ref="G295:L295" si="132">SUM(G89:G94)</f>
        <v>106</v>
      </c>
      <c r="H295" s="3">
        <f t="shared" si="132"/>
        <v>51</v>
      </c>
      <c r="I295" s="3">
        <f t="shared" si="132"/>
        <v>157</v>
      </c>
      <c r="J295" s="3">
        <f t="shared" si="132"/>
        <v>102</v>
      </c>
      <c r="K295" s="3">
        <f t="shared" si="132"/>
        <v>4</v>
      </c>
      <c r="L295" s="3">
        <f t="shared" si="132"/>
        <v>7</v>
      </c>
    </row>
    <row r="296" spans="1:12" x14ac:dyDescent="0.3">
      <c r="A296" s="3" t="s">
        <v>76</v>
      </c>
      <c r="B296" s="3" t="s">
        <v>72</v>
      </c>
      <c r="C296" s="3" t="s">
        <v>67</v>
      </c>
      <c r="D296" s="3"/>
      <c r="E296" s="3"/>
      <c r="F296" s="3">
        <f>SUM(F95:F99)</f>
        <v>13282</v>
      </c>
      <c r="G296" s="3">
        <f t="shared" ref="G296:L296" si="133">SUM(G95:G99)</f>
        <v>71</v>
      </c>
      <c r="H296" s="3">
        <f t="shared" si="133"/>
        <v>28</v>
      </c>
      <c r="I296" s="3">
        <f t="shared" si="133"/>
        <v>99</v>
      </c>
      <c r="J296" s="3">
        <f t="shared" si="133"/>
        <v>62</v>
      </c>
      <c r="K296" s="3">
        <f t="shared" si="133"/>
        <v>9</v>
      </c>
      <c r="L296" s="3">
        <f t="shared" si="133"/>
        <v>12</v>
      </c>
    </row>
    <row r="297" spans="1:12" x14ac:dyDescent="0.3">
      <c r="A297" s="3" t="s">
        <v>76</v>
      </c>
      <c r="B297" s="3" t="s">
        <v>73</v>
      </c>
      <c r="C297" s="3" t="s">
        <v>67</v>
      </c>
      <c r="D297" s="3"/>
      <c r="E297" s="3"/>
      <c r="F297" s="3">
        <f>SUM(F100:F103)</f>
        <v>12184</v>
      </c>
      <c r="G297" s="3">
        <f t="shared" ref="G297:L297" si="134">SUM(G100:G103)</f>
        <v>58</v>
      </c>
      <c r="H297" s="3">
        <f t="shared" si="134"/>
        <v>25</v>
      </c>
      <c r="I297" s="3">
        <f t="shared" si="134"/>
        <v>83</v>
      </c>
      <c r="J297" s="3">
        <f t="shared" si="134"/>
        <v>52</v>
      </c>
      <c r="K297" s="3">
        <f t="shared" si="134"/>
        <v>6</v>
      </c>
      <c r="L297" s="3">
        <f t="shared" si="134"/>
        <v>7</v>
      </c>
    </row>
    <row r="298" spans="1:12" x14ac:dyDescent="0.3">
      <c r="A298" s="1" t="s">
        <v>88</v>
      </c>
      <c r="B298" s="1" t="s">
        <v>66</v>
      </c>
      <c r="C298" s="1" t="s">
        <v>67</v>
      </c>
      <c r="F298" s="1">
        <f>SUM(F104:F109)</f>
        <v>14388</v>
      </c>
      <c r="G298" s="1">
        <f t="shared" ref="G298:L298" si="135">SUM(G104:G109)</f>
        <v>74</v>
      </c>
      <c r="H298" s="1">
        <f t="shared" si="135"/>
        <v>28</v>
      </c>
      <c r="I298" s="1">
        <f t="shared" si="135"/>
        <v>102</v>
      </c>
      <c r="J298" s="1">
        <f t="shared" si="135"/>
        <v>67</v>
      </c>
      <c r="K298" s="1">
        <f t="shared" si="135"/>
        <v>7</v>
      </c>
      <c r="L298" s="1">
        <f t="shared" si="135"/>
        <v>7</v>
      </c>
    </row>
    <row r="299" spans="1:12" x14ac:dyDescent="0.3">
      <c r="A299" s="1" t="s">
        <v>88</v>
      </c>
      <c r="B299" s="1" t="s">
        <v>69</v>
      </c>
      <c r="C299" s="1" t="s">
        <v>67</v>
      </c>
      <c r="F299" s="1">
        <f>SUM(F110:F115)</f>
        <v>12339</v>
      </c>
      <c r="G299" s="1">
        <f t="shared" ref="G299:L299" si="136">SUM(G110:G115)</f>
        <v>57</v>
      </c>
      <c r="H299" s="1">
        <f t="shared" si="136"/>
        <v>22</v>
      </c>
      <c r="I299" s="1">
        <f t="shared" si="136"/>
        <v>79</v>
      </c>
      <c r="J299" s="1">
        <f t="shared" si="136"/>
        <v>49</v>
      </c>
      <c r="K299" s="1">
        <f t="shared" si="136"/>
        <v>8</v>
      </c>
      <c r="L299" s="1">
        <f t="shared" si="136"/>
        <v>8</v>
      </c>
    </row>
    <row r="300" spans="1:12" x14ac:dyDescent="0.3">
      <c r="A300" s="1" t="s">
        <v>88</v>
      </c>
      <c r="B300" s="1" t="s">
        <v>70</v>
      </c>
      <c r="C300" s="1" t="s">
        <v>67</v>
      </c>
      <c r="F300" s="1">
        <f>SUM(F116:F122)</f>
        <v>15294</v>
      </c>
      <c r="G300" s="1">
        <f t="shared" ref="G300:L300" si="137">SUM(G116:G122)</f>
        <v>61</v>
      </c>
      <c r="H300" s="1">
        <f t="shared" si="137"/>
        <v>36</v>
      </c>
      <c r="I300" s="1">
        <f t="shared" si="137"/>
        <v>97</v>
      </c>
      <c r="J300" s="1">
        <f t="shared" si="137"/>
        <v>57</v>
      </c>
      <c r="K300" s="1">
        <f t="shared" si="137"/>
        <v>4</v>
      </c>
      <c r="L300" s="1">
        <f t="shared" si="137"/>
        <v>5</v>
      </c>
    </row>
    <row r="301" spans="1:12" x14ac:dyDescent="0.3">
      <c r="A301" s="1" t="s">
        <v>88</v>
      </c>
      <c r="B301" s="1" t="s">
        <v>71</v>
      </c>
      <c r="C301" s="1" t="s">
        <v>67</v>
      </c>
      <c r="F301" s="1">
        <f>SUM(F123:F129)</f>
        <v>19509</v>
      </c>
      <c r="G301" s="1">
        <f t="shared" ref="G301:L301" si="138">SUM(G123:G129)</f>
        <v>82</v>
      </c>
      <c r="H301" s="1">
        <f t="shared" si="138"/>
        <v>46</v>
      </c>
      <c r="I301" s="1">
        <f t="shared" si="138"/>
        <v>128</v>
      </c>
      <c r="J301" s="1">
        <f t="shared" si="138"/>
        <v>79</v>
      </c>
      <c r="K301" s="1">
        <f t="shared" si="138"/>
        <v>3</v>
      </c>
      <c r="L301" s="1">
        <f t="shared" si="138"/>
        <v>5</v>
      </c>
    </row>
    <row r="302" spans="1:12" x14ac:dyDescent="0.3">
      <c r="A302" s="1" t="s">
        <v>88</v>
      </c>
      <c r="B302" s="1" t="s">
        <v>72</v>
      </c>
      <c r="C302" s="1" t="s">
        <v>67</v>
      </c>
      <c r="F302" s="1">
        <f>SUM(F130:F134)</f>
        <v>13411</v>
      </c>
      <c r="G302" s="1">
        <f t="shared" ref="G302:L302" si="139">SUM(G130:G134)</f>
        <v>62</v>
      </c>
      <c r="H302" s="1">
        <f t="shared" si="139"/>
        <v>30</v>
      </c>
      <c r="I302" s="1">
        <f t="shared" si="139"/>
        <v>92</v>
      </c>
      <c r="J302" s="1">
        <f t="shared" si="139"/>
        <v>60</v>
      </c>
      <c r="K302" s="1">
        <f t="shared" si="139"/>
        <v>2</v>
      </c>
      <c r="L302" s="1">
        <f t="shared" si="139"/>
        <v>2</v>
      </c>
    </row>
    <row r="303" spans="1:12" x14ac:dyDescent="0.3">
      <c r="A303" s="1" t="s">
        <v>88</v>
      </c>
      <c r="B303" s="1" t="s">
        <v>73</v>
      </c>
      <c r="C303" s="1" t="s">
        <v>67</v>
      </c>
      <c r="F303" s="1">
        <f>SUM(F135:F140)</f>
        <v>14614</v>
      </c>
      <c r="G303" s="1">
        <f t="shared" ref="G303:L303" si="140">SUM(G135:G140)</f>
        <v>77</v>
      </c>
      <c r="H303" s="1">
        <f t="shared" si="140"/>
        <v>46</v>
      </c>
      <c r="I303" s="1">
        <f t="shared" si="140"/>
        <v>123</v>
      </c>
      <c r="J303" s="1">
        <f t="shared" si="140"/>
        <v>71</v>
      </c>
      <c r="K303" s="1">
        <f t="shared" si="140"/>
        <v>6</v>
      </c>
      <c r="L303" s="1">
        <f t="shared" si="140"/>
        <v>6</v>
      </c>
    </row>
    <row r="304" spans="1:12" x14ac:dyDescent="0.3">
      <c r="A304" s="3" t="s">
        <v>99</v>
      </c>
      <c r="B304" s="3" t="s">
        <v>66</v>
      </c>
      <c r="C304" s="3" t="s">
        <v>67</v>
      </c>
      <c r="D304" s="3"/>
      <c r="E304" s="3"/>
      <c r="F304" s="3">
        <f>SUM(F141:F147)</f>
        <v>16626</v>
      </c>
      <c r="G304" s="3">
        <f t="shared" ref="G304:L304" si="141">SUM(G141:G147)</f>
        <v>108</v>
      </c>
      <c r="H304" s="3">
        <f t="shared" si="141"/>
        <v>37</v>
      </c>
      <c r="I304" s="3">
        <f t="shared" si="141"/>
        <v>145</v>
      </c>
      <c r="J304" s="3">
        <f t="shared" si="141"/>
        <v>102</v>
      </c>
      <c r="K304" s="3">
        <f t="shared" si="141"/>
        <v>6</v>
      </c>
      <c r="L304" s="3">
        <f t="shared" si="141"/>
        <v>8</v>
      </c>
    </row>
    <row r="305" spans="1:12" x14ac:dyDescent="0.3">
      <c r="A305" s="3" t="s">
        <v>99</v>
      </c>
      <c r="B305" s="3" t="s">
        <v>69</v>
      </c>
      <c r="C305" s="3" t="s">
        <v>67</v>
      </c>
      <c r="D305" s="3"/>
      <c r="E305" s="3"/>
      <c r="F305" s="3">
        <f>SUM(F148:F152)</f>
        <v>10114</v>
      </c>
      <c r="G305" s="3">
        <f t="shared" ref="G305:L305" si="142">SUM(G148:G152)</f>
        <v>41</v>
      </c>
      <c r="H305" s="3">
        <f t="shared" si="142"/>
        <v>24</v>
      </c>
      <c r="I305" s="3">
        <f t="shared" si="142"/>
        <v>65</v>
      </c>
      <c r="J305" s="3">
        <f t="shared" si="142"/>
        <v>35</v>
      </c>
      <c r="K305" s="3">
        <f t="shared" si="142"/>
        <v>6</v>
      </c>
      <c r="L305" s="3">
        <f t="shared" si="142"/>
        <v>9</v>
      </c>
    </row>
    <row r="306" spans="1:12" x14ac:dyDescent="0.3">
      <c r="A306" s="3" t="s">
        <v>99</v>
      </c>
      <c r="B306" s="3" t="s">
        <v>70</v>
      </c>
      <c r="C306" s="3" t="s">
        <v>67</v>
      </c>
      <c r="D306" s="3"/>
      <c r="E306" s="3"/>
      <c r="F306" s="3">
        <f>SUM(F153:F157)</f>
        <v>11926</v>
      </c>
      <c r="G306" s="3">
        <f t="shared" ref="G306:L306" si="143">SUM(G153:G157)</f>
        <v>45</v>
      </c>
      <c r="H306" s="3">
        <f t="shared" si="143"/>
        <v>19</v>
      </c>
      <c r="I306" s="3">
        <f t="shared" si="143"/>
        <v>64</v>
      </c>
      <c r="J306" s="3">
        <f t="shared" si="143"/>
        <v>43</v>
      </c>
      <c r="K306" s="3">
        <f t="shared" si="143"/>
        <v>2</v>
      </c>
      <c r="L306" s="3">
        <f t="shared" si="143"/>
        <v>2</v>
      </c>
    </row>
    <row r="307" spans="1:12" x14ac:dyDescent="0.3">
      <c r="A307" s="3" t="s">
        <v>99</v>
      </c>
      <c r="B307" s="3" t="s">
        <v>71</v>
      </c>
      <c r="C307" s="3" t="s">
        <v>67</v>
      </c>
      <c r="D307" s="3"/>
      <c r="E307" s="3"/>
      <c r="F307" s="3">
        <f>SUM(F158:F165)</f>
        <v>19503</v>
      </c>
      <c r="G307" s="3">
        <f t="shared" ref="G307:L307" si="144">SUM(G158:G165)</f>
        <v>93</v>
      </c>
      <c r="H307" s="3">
        <f t="shared" si="144"/>
        <v>52</v>
      </c>
      <c r="I307" s="3">
        <f t="shared" si="144"/>
        <v>145</v>
      </c>
      <c r="J307" s="3">
        <f t="shared" si="144"/>
        <v>83</v>
      </c>
      <c r="K307" s="3">
        <f t="shared" si="144"/>
        <v>10</v>
      </c>
      <c r="L307" s="3">
        <f t="shared" si="144"/>
        <v>13</v>
      </c>
    </row>
    <row r="308" spans="1:12" x14ac:dyDescent="0.3">
      <c r="A308" s="3" t="s">
        <v>99</v>
      </c>
      <c r="B308" s="3" t="s">
        <v>72</v>
      </c>
      <c r="C308" s="3" t="s">
        <v>67</v>
      </c>
      <c r="D308" s="3"/>
      <c r="E308" s="3"/>
      <c r="F308" s="3">
        <f>SUM(F166:F170)</f>
        <v>8900</v>
      </c>
      <c r="G308" s="3">
        <f t="shared" ref="G308:L308" si="145">SUM(G166:G170)</f>
        <v>40</v>
      </c>
      <c r="H308" s="3">
        <f t="shared" si="145"/>
        <v>10</v>
      </c>
      <c r="I308" s="3">
        <f t="shared" si="145"/>
        <v>50</v>
      </c>
      <c r="J308" s="3">
        <f t="shared" si="145"/>
        <v>37</v>
      </c>
      <c r="K308" s="3">
        <f t="shared" si="145"/>
        <v>3</v>
      </c>
      <c r="L308" s="3">
        <f t="shared" si="145"/>
        <v>4</v>
      </c>
    </row>
    <row r="309" spans="1:12" x14ac:dyDescent="0.3">
      <c r="A309" s="3" t="s">
        <v>99</v>
      </c>
      <c r="B309" s="3" t="s">
        <v>73</v>
      </c>
      <c r="C309" s="3" t="s">
        <v>67</v>
      </c>
      <c r="D309" s="3"/>
      <c r="E309" s="3"/>
      <c r="F309" s="3">
        <f>SUM(F171:F176)</f>
        <v>13380</v>
      </c>
      <c r="G309" s="3">
        <f t="shared" ref="G309:L309" si="146">SUM(G171:G176)</f>
        <v>66</v>
      </c>
      <c r="H309" s="3">
        <f t="shared" si="146"/>
        <v>36</v>
      </c>
      <c r="I309" s="3">
        <f t="shared" si="146"/>
        <v>102</v>
      </c>
      <c r="J309" s="3">
        <f t="shared" si="146"/>
        <v>60</v>
      </c>
      <c r="K309" s="3">
        <f t="shared" si="146"/>
        <v>6</v>
      </c>
      <c r="L309" s="3">
        <f t="shared" si="146"/>
        <v>6</v>
      </c>
    </row>
    <row r="310" spans="1:12" x14ac:dyDescent="0.3">
      <c r="A310" s="1" t="s">
        <v>107</v>
      </c>
      <c r="B310" s="1" t="s">
        <v>66</v>
      </c>
      <c r="C310" s="1" t="s">
        <v>67</v>
      </c>
      <c r="F310" s="1">
        <f>SUM(F177:F183)</f>
        <v>13670</v>
      </c>
      <c r="G310" s="1">
        <f t="shared" ref="G310:L310" si="147">SUM(G177:G183)</f>
        <v>80</v>
      </c>
      <c r="H310" s="1">
        <f t="shared" si="147"/>
        <v>38</v>
      </c>
      <c r="I310" s="1">
        <f t="shared" si="147"/>
        <v>118</v>
      </c>
      <c r="J310" s="1">
        <f t="shared" si="147"/>
        <v>76</v>
      </c>
      <c r="K310" s="1">
        <f t="shared" si="147"/>
        <v>4</v>
      </c>
      <c r="L310" s="1">
        <f t="shared" si="147"/>
        <v>6</v>
      </c>
    </row>
    <row r="311" spans="1:12" x14ac:dyDescent="0.3">
      <c r="A311" s="1" t="s">
        <v>107</v>
      </c>
      <c r="B311" s="1" t="s">
        <v>69</v>
      </c>
      <c r="C311" s="1" t="s">
        <v>67</v>
      </c>
      <c r="F311" s="1">
        <f>SUM(F184:F189)</f>
        <v>13045</v>
      </c>
      <c r="G311" s="1">
        <f t="shared" ref="G311:L311" si="148">SUM(G184:G189)</f>
        <v>54</v>
      </c>
      <c r="H311" s="1">
        <f t="shared" si="148"/>
        <v>40</v>
      </c>
      <c r="I311" s="1">
        <f t="shared" si="148"/>
        <v>94</v>
      </c>
      <c r="J311" s="1">
        <f t="shared" si="148"/>
        <v>51</v>
      </c>
      <c r="K311" s="1">
        <f t="shared" si="148"/>
        <v>3</v>
      </c>
      <c r="L311" s="1">
        <f t="shared" si="148"/>
        <v>4</v>
      </c>
    </row>
    <row r="312" spans="1:12" x14ac:dyDescent="0.3">
      <c r="A312" s="1" t="s">
        <v>107</v>
      </c>
      <c r="B312" s="1" t="s">
        <v>70</v>
      </c>
      <c r="C312" s="1" t="s">
        <v>67</v>
      </c>
      <c r="F312" s="1">
        <f>SUM(F190:F194)</f>
        <v>9970</v>
      </c>
      <c r="G312" s="1">
        <f t="shared" ref="G312:L312" si="149">SUM(G190:G194)</f>
        <v>28</v>
      </c>
      <c r="H312" s="1">
        <f t="shared" si="149"/>
        <v>7</v>
      </c>
      <c r="I312" s="1">
        <f t="shared" si="149"/>
        <v>35</v>
      </c>
      <c r="J312" s="1">
        <f t="shared" si="149"/>
        <v>26</v>
      </c>
      <c r="K312" s="1">
        <f t="shared" si="149"/>
        <v>2</v>
      </c>
      <c r="L312" s="1">
        <f t="shared" si="149"/>
        <v>3</v>
      </c>
    </row>
    <row r="313" spans="1:12" x14ac:dyDescent="0.3">
      <c r="A313" s="1" t="s">
        <v>107</v>
      </c>
      <c r="B313" s="1" t="s">
        <v>71</v>
      </c>
      <c r="C313" s="1" t="s">
        <v>67</v>
      </c>
      <c r="F313" s="1">
        <f>SUM(F195:F199)</f>
        <v>16803</v>
      </c>
      <c r="G313" s="1">
        <f t="shared" ref="G313:L313" si="150">SUM(G195:G199)</f>
        <v>96</v>
      </c>
      <c r="H313" s="1">
        <f t="shared" si="150"/>
        <v>43</v>
      </c>
      <c r="I313" s="1">
        <f t="shared" si="150"/>
        <v>139</v>
      </c>
      <c r="J313" s="1">
        <f t="shared" si="150"/>
        <v>82</v>
      </c>
      <c r="K313" s="1">
        <f t="shared" si="150"/>
        <v>14</v>
      </c>
      <c r="L313" s="1">
        <f t="shared" si="150"/>
        <v>17</v>
      </c>
    </row>
    <row r="314" spans="1:12" x14ac:dyDescent="0.3">
      <c r="A314" s="1" t="s">
        <v>107</v>
      </c>
      <c r="B314" s="1" t="s">
        <v>72</v>
      </c>
      <c r="C314" s="1" t="s">
        <v>67</v>
      </c>
      <c r="F314" s="1">
        <f>SUM(F200:F204)</f>
        <v>9673</v>
      </c>
      <c r="G314" s="1">
        <f t="shared" ref="G314:L314" si="151">SUM(G200:G204)</f>
        <v>49</v>
      </c>
      <c r="H314" s="1">
        <f t="shared" si="151"/>
        <v>21</v>
      </c>
      <c r="I314" s="1">
        <f t="shared" si="151"/>
        <v>70</v>
      </c>
      <c r="J314" s="1">
        <f t="shared" si="151"/>
        <v>46</v>
      </c>
      <c r="K314" s="1">
        <f t="shared" si="151"/>
        <v>3</v>
      </c>
      <c r="L314" s="1">
        <f t="shared" si="151"/>
        <v>3</v>
      </c>
    </row>
    <row r="315" spans="1:12" x14ac:dyDescent="0.3">
      <c r="A315" s="1" t="s">
        <v>107</v>
      </c>
      <c r="B315" s="1" t="s">
        <v>73</v>
      </c>
      <c r="C315" s="1" t="s">
        <v>67</v>
      </c>
      <c r="F315" s="1">
        <f>SUM(F205:F209)</f>
        <v>12347</v>
      </c>
      <c r="G315" s="1">
        <f t="shared" ref="G315:L315" si="152">SUM(G205:G209)</f>
        <v>52</v>
      </c>
      <c r="H315" s="1">
        <f t="shared" si="152"/>
        <v>22</v>
      </c>
      <c r="I315" s="1">
        <f t="shared" si="152"/>
        <v>74</v>
      </c>
      <c r="J315" s="1">
        <f t="shared" si="152"/>
        <v>46</v>
      </c>
      <c r="K315" s="1">
        <f t="shared" si="152"/>
        <v>6</v>
      </c>
      <c r="L315" s="1">
        <f t="shared" si="152"/>
        <v>8</v>
      </c>
    </row>
    <row r="316" spans="1:12" x14ac:dyDescent="0.3">
      <c r="A316" s="3" t="s">
        <v>119</v>
      </c>
      <c r="B316" s="3" t="s">
        <v>66</v>
      </c>
      <c r="C316" s="3" t="s">
        <v>67</v>
      </c>
      <c r="D316" s="3"/>
      <c r="E316" s="3"/>
      <c r="F316" s="3">
        <f>SUM(F210:F215)</f>
        <v>14568</v>
      </c>
      <c r="G316" s="3">
        <f t="shared" ref="G316:L316" si="153">SUM(G210:G215)</f>
        <v>89</v>
      </c>
      <c r="H316" s="3">
        <f t="shared" si="153"/>
        <v>42</v>
      </c>
      <c r="I316" s="3">
        <f t="shared" si="153"/>
        <v>131</v>
      </c>
      <c r="J316" s="3">
        <f t="shared" si="153"/>
        <v>82</v>
      </c>
      <c r="K316" s="3">
        <f t="shared" si="153"/>
        <v>7</v>
      </c>
      <c r="L316" s="3">
        <f t="shared" si="153"/>
        <v>10</v>
      </c>
    </row>
    <row r="317" spans="1:12" x14ac:dyDescent="0.3">
      <c r="A317" s="3" t="s">
        <v>119</v>
      </c>
      <c r="B317" s="3" t="s">
        <v>69</v>
      </c>
      <c r="C317" s="3" t="s">
        <v>67</v>
      </c>
      <c r="D317" s="3"/>
      <c r="E317" s="3"/>
      <c r="F317" s="3">
        <f>SUM(F216:F221)</f>
        <v>15868</v>
      </c>
      <c r="G317" s="3">
        <f t="shared" ref="G317:L317" si="154">SUM(G216:G221)</f>
        <v>73</v>
      </c>
      <c r="H317" s="3">
        <f t="shared" si="154"/>
        <v>39</v>
      </c>
      <c r="I317" s="3">
        <f t="shared" si="154"/>
        <v>112</v>
      </c>
      <c r="J317" s="3">
        <f t="shared" si="154"/>
        <v>66</v>
      </c>
      <c r="K317" s="3">
        <f t="shared" si="154"/>
        <v>7</v>
      </c>
      <c r="L317" s="3">
        <f t="shared" si="154"/>
        <v>7</v>
      </c>
    </row>
    <row r="318" spans="1:12" x14ac:dyDescent="0.3">
      <c r="A318" s="3" t="s">
        <v>119</v>
      </c>
      <c r="B318" s="3" t="s">
        <v>70</v>
      </c>
      <c r="C318" s="3" t="s">
        <v>67</v>
      </c>
      <c r="D318" s="3"/>
      <c r="E318" s="3"/>
      <c r="F318" s="3">
        <f>SUM(F222:F226)</f>
        <v>11179</v>
      </c>
      <c r="G318" s="3">
        <f t="shared" ref="G318:L318" si="155">SUM(G222:G226)</f>
        <v>57</v>
      </c>
      <c r="H318" s="3">
        <f t="shared" si="155"/>
        <v>29</v>
      </c>
      <c r="I318" s="3">
        <f t="shared" si="155"/>
        <v>86</v>
      </c>
      <c r="J318" s="3">
        <f t="shared" si="155"/>
        <v>48</v>
      </c>
      <c r="K318" s="3">
        <f t="shared" si="155"/>
        <v>9</v>
      </c>
      <c r="L318" s="3">
        <f t="shared" si="155"/>
        <v>10</v>
      </c>
    </row>
    <row r="319" spans="1:12" x14ac:dyDescent="0.3">
      <c r="A319" s="3" t="s">
        <v>119</v>
      </c>
      <c r="B319" s="3" t="s">
        <v>71</v>
      </c>
      <c r="C319" s="3" t="s">
        <v>67</v>
      </c>
      <c r="D319" s="3"/>
      <c r="E319" s="3"/>
      <c r="F319" s="3">
        <f>SUM(F227:F231)</f>
        <v>13457</v>
      </c>
      <c r="G319" s="3">
        <f t="shared" ref="G319:L319" si="156">SUM(G227:G231)</f>
        <v>71</v>
      </c>
      <c r="H319" s="3">
        <f t="shared" si="156"/>
        <v>31</v>
      </c>
      <c r="I319" s="3">
        <f t="shared" si="156"/>
        <v>102</v>
      </c>
      <c r="J319" s="3">
        <f t="shared" si="156"/>
        <v>60</v>
      </c>
      <c r="K319" s="3">
        <f t="shared" si="156"/>
        <v>11</v>
      </c>
      <c r="L319" s="3">
        <f t="shared" si="156"/>
        <v>12</v>
      </c>
    </row>
    <row r="320" spans="1:12" x14ac:dyDescent="0.3">
      <c r="A320" s="3" t="s">
        <v>119</v>
      </c>
      <c r="B320" s="3" t="s">
        <v>72</v>
      </c>
      <c r="C320" s="3" t="s">
        <v>67</v>
      </c>
      <c r="D320" s="3"/>
      <c r="E320" s="3"/>
      <c r="F320" s="3">
        <f>SUM(F232:F236)</f>
        <v>12223</v>
      </c>
      <c r="G320" s="3">
        <f t="shared" ref="G320:L320" si="157">SUM(G232:G236)</f>
        <v>39</v>
      </c>
      <c r="H320" s="3">
        <f t="shared" si="157"/>
        <v>15</v>
      </c>
      <c r="I320" s="3">
        <f t="shared" si="157"/>
        <v>54</v>
      </c>
      <c r="J320" s="3">
        <f t="shared" si="157"/>
        <v>37</v>
      </c>
      <c r="K320" s="3">
        <f t="shared" si="157"/>
        <v>2</v>
      </c>
      <c r="L320" s="3">
        <f t="shared" si="157"/>
        <v>2</v>
      </c>
    </row>
    <row r="321" spans="1:12" x14ac:dyDescent="0.3">
      <c r="A321" s="3" t="s">
        <v>119</v>
      </c>
      <c r="B321" s="3" t="s">
        <v>73</v>
      </c>
      <c r="C321" s="3" t="s">
        <v>67</v>
      </c>
      <c r="D321" s="3"/>
      <c r="E321" s="3"/>
      <c r="F321" s="3">
        <f>SUM(F237:F241)</f>
        <v>10846</v>
      </c>
      <c r="G321" s="3">
        <f t="shared" ref="G321:L321" si="158">SUM(G237:G241)</f>
        <v>44</v>
      </c>
      <c r="H321" s="3">
        <f t="shared" si="158"/>
        <v>30</v>
      </c>
      <c r="I321" s="3">
        <f t="shared" si="158"/>
        <v>74</v>
      </c>
      <c r="J321" s="3">
        <f t="shared" si="158"/>
        <v>42</v>
      </c>
      <c r="K321" s="3">
        <f t="shared" si="158"/>
        <v>2</v>
      </c>
      <c r="L321" s="3">
        <f t="shared" si="158"/>
        <v>2</v>
      </c>
    </row>
    <row r="322" spans="1:12" x14ac:dyDescent="0.3">
      <c r="A322" s="1" t="s">
        <v>128</v>
      </c>
      <c r="B322" s="1" t="s">
        <v>66</v>
      </c>
      <c r="C322" s="1" t="s">
        <v>67</v>
      </c>
      <c r="F322" s="1">
        <f>SUM(F242:F248)</f>
        <v>14979</v>
      </c>
      <c r="G322" s="1">
        <f t="shared" ref="G322:L322" si="159">SUM(G242:G248)</f>
        <v>88</v>
      </c>
      <c r="H322" s="1">
        <f t="shared" si="159"/>
        <v>43</v>
      </c>
      <c r="I322" s="1">
        <f t="shared" si="159"/>
        <v>131</v>
      </c>
      <c r="J322" s="1">
        <f t="shared" si="159"/>
        <v>76</v>
      </c>
      <c r="K322" s="1">
        <f t="shared" si="159"/>
        <v>12</v>
      </c>
      <c r="L322" s="1">
        <f t="shared" si="159"/>
        <v>13</v>
      </c>
    </row>
    <row r="323" spans="1:12" x14ac:dyDescent="0.3">
      <c r="A323" s="1" t="s">
        <v>128</v>
      </c>
      <c r="B323" s="1" t="s">
        <v>69</v>
      </c>
      <c r="C323" s="1" t="s">
        <v>67</v>
      </c>
      <c r="F323" s="1">
        <f>SUM(F249:F256)</f>
        <v>18803</v>
      </c>
      <c r="G323" s="1">
        <f t="shared" ref="G323:L323" si="160">SUM(G249:G256)</f>
        <v>73</v>
      </c>
      <c r="H323" s="1">
        <f t="shared" si="160"/>
        <v>45</v>
      </c>
      <c r="I323" s="1">
        <f t="shared" si="160"/>
        <v>118</v>
      </c>
      <c r="J323" s="1">
        <f t="shared" si="160"/>
        <v>71</v>
      </c>
      <c r="K323" s="1">
        <f t="shared" si="160"/>
        <v>2</v>
      </c>
      <c r="L323" s="1">
        <f t="shared" si="160"/>
        <v>5</v>
      </c>
    </row>
    <row r="324" spans="1:12" x14ac:dyDescent="0.3">
      <c r="A324" s="1" t="s">
        <v>128</v>
      </c>
      <c r="B324" s="1" t="s">
        <v>70</v>
      </c>
      <c r="C324" s="1" t="s">
        <v>67</v>
      </c>
      <c r="F324" s="1">
        <f>SUM(F257:F262)</f>
        <v>12256</v>
      </c>
      <c r="G324" s="1">
        <f t="shared" ref="G324:L324" si="161">SUM(G257:G262)</f>
        <v>54</v>
      </c>
      <c r="H324" s="1">
        <f t="shared" si="161"/>
        <v>32</v>
      </c>
      <c r="I324" s="1">
        <f t="shared" si="161"/>
        <v>86</v>
      </c>
      <c r="J324" s="1">
        <f t="shared" si="161"/>
        <v>48</v>
      </c>
      <c r="K324" s="1">
        <f t="shared" si="161"/>
        <v>6</v>
      </c>
      <c r="L324" s="1">
        <f t="shared" si="161"/>
        <v>9</v>
      </c>
    </row>
    <row r="325" spans="1:12" x14ac:dyDescent="0.3">
      <c r="A325" s="1" t="s">
        <v>128</v>
      </c>
      <c r="B325" s="1" t="s">
        <v>71</v>
      </c>
      <c r="C325" s="1" t="s">
        <v>67</v>
      </c>
      <c r="F325" s="1">
        <f>SUM(F263:F267)</f>
        <v>12467</v>
      </c>
      <c r="G325" s="1">
        <f t="shared" ref="G325:L325" si="162">SUM(G263:G267)</f>
        <v>54</v>
      </c>
      <c r="H325" s="1">
        <f t="shared" si="162"/>
        <v>25</v>
      </c>
      <c r="I325" s="1">
        <f t="shared" si="162"/>
        <v>79</v>
      </c>
      <c r="J325" s="1">
        <f t="shared" si="162"/>
        <v>48</v>
      </c>
      <c r="K325" s="1">
        <f t="shared" si="162"/>
        <v>6</v>
      </c>
      <c r="L325" s="1">
        <f t="shared" si="162"/>
        <v>9</v>
      </c>
    </row>
    <row r="326" spans="1:12" x14ac:dyDescent="0.3">
      <c r="A326" s="1" t="s">
        <v>128</v>
      </c>
      <c r="B326" s="1" t="s">
        <v>72</v>
      </c>
      <c r="C326" s="1" t="s">
        <v>67</v>
      </c>
      <c r="F326" s="1">
        <f>SUM(F268:F272)</f>
        <v>12872</v>
      </c>
      <c r="G326" s="1">
        <f t="shared" ref="G326:L326" si="163">SUM(G268:G272)</f>
        <v>42</v>
      </c>
      <c r="H326" s="1">
        <f t="shared" si="163"/>
        <v>22</v>
      </c>
      <c r="I326" s="1">
        <f t="shared" si="163"/>
        <v>64</v>
      </c>
      <c r="J326" s="1">
        <f t="shared" si="163"/>
        <v>42</v>
      </c>
      <c r="K326" s="1">
        <f t="shared" si="163"/>
        <v>0</v>
      </c>
      <c r="L326" s="1">
        <f t="shared" si="163"/>
        <v>0</v>
      </c>
    </row>
    <row r="327" spans="1:12" x14ac:dyDescent="0.3">
      <c r="A327" s="1" t="s">
        <v>128</v>
      </c>
      <c r="B327" s="1" t="s">
        <v>73</v>
      </c>
      <c r="C327" s="1" t="s">
        <v>67</v>
      </c>
      <c r="F327" s="1">
        <f>SUM(F273:F277)</f>
        <v>9393</v>
      </c>
      <c r="G327" s="1">
        <f t="shared" ref="G327:L327" si="164">SUM(G273:G277)</f>
        <v>34</v>
      </c>
      <c r="H327" s="1">
        <f t="shared" si="164"/>
        <v>22</v>
      </c>
      <c r="I327" s="1">
        <f t="shared" si="164"/>
        <v>56</v>
      </c>
      <c r="J327" s="1">
        <f t="shared" si="164"/>
        <v>32</v>
      </c>
      <c r="K327" s="1">
        <f t="shared" si="164"/>
        <v>2</v>
      </c>
      <c r="L327" s="1">
        <f t="shared" si="164"/>
        <v>3</v>
      </c>
    </row>
  </sheetData>
  <phoneticPr fontId="4" type="noConversion"/>
  <pageMargins left="0.7" right="0.7" top="0.75" bottom="0.75" header="0.3" footer="0.3"/>
  <pageSetup paperSize="9" orientation="portrait" r:id="rId1"/>
  <ignoredErrors>
    <ignoredError sqref="F280:L280 F281:L281 F282:L282 F283:L283 F284:L284 F285:L285 F286:L286 F291:L291 F290:L290 F289:L289 F288:L288 F287:L287 F292:L292 F293:L293 F294:L294 F295:L295 F296:L296 F297:L297 F298:L298 F299:L299 F300:L300 F301:L301 F302:L302 F303:L303 F304:L304 F305:L305 F306:L306 F307:L307 F308:L308 F309:L309 F310:L310 F311:L311 F312:L312 F313:L313 F314:L314 F315:L315 F316:L316 F317:L317 F318:L318 F319:L319 F320:L320 F321:L321 F322:L322 F323:L323 F324:L324 F325:L325 F326:L326 F327:L327" formulaRange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04064-6908-45B3-ACBC-877449846C76}">
  <dimension ref="A3:P106"/>
  <sheetViews>
    <sheetView zoomScale="80" zoomScaleNormal="80" workbookViewId="0">
      <selection activeCell="O85" sqref="O85"/>
    </sheetView>
  </sheetViews>
  <sheetFormatPr defaultRowHeight="14.4" x14ac:dyDescent="0.3"/>
  <cols>
    <col min="1" max="1" width="27.109375" style="15" bestFit="1" customWidth="1"/>
    <col min="2" max="2" width="18.21875" style="15" bestFit="1" customWidth="1"/>
    <col min="3" max="9" width="8.33203125" style="15" bestFit="1" customWidth="1"/>
    <col min="10" max="10" width="12.109375" style="15" bestFit="1" customWidth="1"/>
    <col min="11" max="14" width="7.6640625" style="15" bestFit="1" customWidth="1"/>
    <col min="15" max="15" width="22.77734375" style="15" bestFit="1" customWidth="1"/>
    <col min="16" max="16" width="15.21875" style="15" bestFit="1" customWidth="1"/>
    <col min="17" max="17" width="18" style="15" bestFit="1" customWidth="1"/>
    <col min="18" max="18" width="15.21875" style="15" bestFit="1" customWidth="1"/>
    <col min="19" max="19" width="7.6640625" style="15" bestFit="1" customWidth="1"/>
    <col min="20" max="20" width="18" style="15" bestFit="1" customWidth="1"/>
    <col min="21" max="21" width="13.109375" style="15" bestFit="1" customWidth="1"/>
    <col min="22" max="22" width="15.88671875" style="15" bestFit="1" customWidth="1"/>
    <col min="23" max="23" width="16.33203125" style="15" bestFit="1" customWidth="1"/>
    <col min="24" max="24" width="19.109375" style="15" bestFit="1" customWidth="1"/>
    <col min="25" max="25" width="16.44140625" style="15" bestFit="1" customWidth="1"/>
    <col min="26" max="26" width="19.21875" style="15" bestFit="1" customWidth="1"/>
    <col min="27" max="27" width="16.88671875" style="15" bestFit="1" customWidth="1"/>
    <col min="28" max="32" width="7.6640625" style="15" bestFit="1" customWidth="1"/>
    <col min="33" max="33" width="19.6640625" style="15" bestFit="1" customWidth="1"/>
    <col min="34" max="34" width="9.21875" style="15" bestFit="1" customWidth="1"/>
    <col min="35" max="35" width="11.88671875" style="15" bestFit="1" customWidth="1"/>
    <col min="36" max="36" width="15.88671875" style="15" bestFit="1" customWidth="1"/>
    <col min="37" max="37" width="18.6640625" style="15" bestFit="1" customWidth="1"/>
    <col min="38" max="38" width="15.21875" style="15" bestFit="1" customWidth="1"/>
    <col min="39" max="44" width="7.6640625" style="15" bestFit="1" customWidth="1"/>
    <col min="45" max="45" width="18" style="15" bestFit="1" customWidth="1"/>
    <col min="46" max="46" width="12.88671875" style="15" bestFit="1" customWidth="1"/>
    <col min="47" max="47" width="15.6640625" style="15" bestFit="1" customWidth="1"/>
    <col min="48" max="48" width="17.6640625" style="15" bestFit="1" customWidth="1"/>
    <col min="49" max="49" width="7.6640625" style="15" bestFit="1" customWidth="1"/>
    <col min="50" max="50" width="20.44140625" style="15" bestFit="1" customWidth="1"/>
    <col min="51" max="51" width="13.77734375" style="15" bestFit="1" customWidth="1"/>
    <col min="52" max="54" width="7.6640625" style="15" bestFit="1" customWidth="1"/>
    <col min="55" max="55" width="16.5546875" style="15" bestFit="1" customWidth="1"/>
    <col min="56" max="56" width="20.5546875" style="15" bestFit="1" customWidth="1"/>
    <col min="57" max="59" width="7.6640625" style="15" bestFit="1" customWidth="1"/>
    <col min="60" max="60" width="23.33203125" style="15" bestFit="1" customWidth="1"/>
    <col min="61" max="61" width="16.109375" style="15" bestFit="1" customWidth="1"/>
    <col min="62" max="63" width="7.6640625" style="15" bestFit="1" customWidth="1"/>
    <col min="64" max="64" width="18.88671875" style="15" bestFit="1" customWidth="1"/>
    <col min="65" max="65" width="20.109375" style="15" bestFit="1" customWidth="1"/>
    <col min="66" max="66" width="7.6640625" style="15" bestFit="1" customWidth="1"/>
    <col min="67" max="67" width="22.88671875" style="15" bestFit="1" customWidth="1"/>
    <col min="68" max="68" width="13.21875" style="15" bestFit="1" customWidth="1"/>
    <col min="69" max="70" width="7.6640625" style="15" bestFit="1" customWidth="1"/>
    <col min="71" max="71" width="16" style="15" bestFit="1" customWidth="1"/>
    <col min="72" max="72" width="13" style="15" bestFit="1" customWidth="1"/>
    <col min="73" max="74" width="7.6640625" style="15" bestFit="1" customWidth="1"/>
    <col min="75" max="75" width="15.77734375" style="15" bestFit="1" customWidth="1"/>
    <col min="76" max="76" width="16.5546875" style="15" bestFit="1" customWidth="1"/>
    <col min="77" max="77" width="19.33203125" style="15" bestFit="1" customWidth="1"/>
    <col min="78" max="78" width="17.88671875" style="15" bestFit="1" customWidth="1"/>
    <col min="79" max="79" width="7.6640625" style="15" bestFit="1" customWidth="1"/>
    <col min="80" max="80" width="20.6640625" style="15" bestFit="1" customWidth="1"/>
    <col min="81" max="81" width="12.88671875" style="15" bestFit="1" customWidth="1"/>
    <col min="82" max="82" width="15.6640625" style="15" bestFit="1" customWidth="1"/>
    <col min="83" max="83" width="13.77734375" style="15" bestFit="1" customWidth="1"/>
    <col min="84" max="84" width="7.6640625" style="15" bestFit="1" customWidth="1"/>
    <col min="85" max="85" width="16.5546875" style="15" bestFit="1" customWidth="1"/>
    <col min="86" max="86" width="16.44140625" style="15" bestFit="1" customWidth="1"/>
    <col min="87" max="87" width="7.6640625" style="15" bestFit="1" customWidth="1"/>
    <col min="88" max="88" width="19.21875" style="15" bestFit="1" customWidth="1"/>
    <col min="89" max="89" width="12.33203125" style="15" bestFit="1" customWidth="1"/>
    <col min="90" max="90" width="15.109375" style="15" bestFit="1" customWidth="1"/>
    <col min="91" max="91" width="14.6640625" style="15" bestFit="1" customWidth="1"/>
    <col min="92" max="93" width="7.6640625" style="15" bestFit="1" customWidth="1"/>
    <col min="94" max="94" width="17.5546875" style="15" bestFit="1" customWidth="1"/>
    <col min="95" max="95" width="17.21875" style="15" bestFit="1" customWidth="1"/>
    <col min="96" max="98" width="7.6640625" style="15" bestFit="1" customWidth="1"/>
    <col min="99" max="99" width="20" style="15" bestFit="1" customWidth="1"/>
    <col min="100" max="100" width="9.6640625" style="15" bestFit="1" customWidth="1"/>
    <col min="101" max="102" width="7.6640625" style="15" bestFit="1" customWidth="1"/>
    <col min="103" max="103" width="12.33203125" style="15" bestFit="1" customWidth="1"/>
    <col min="104" max="104" width="11.77734375" style="15" bestFit="1" customWidth="1"/>
    <col min="105" max="108" width="7.6640625" style="15" bestFit="1" customWidth="1"/>
    <col min="109" max="109" width="14.5546875" style="15" bestFit="1" customWidth="1"/>
    <col min="110" max="110" width="13" style="15" bestFit="1" customWidth="1"/>
    <col min="111" max="113" width="7.6640625" style="15" bestFit="1" customWidth="1"/>
    <col min="114" max="114" width="15.77734375" style="15" bestFit="1" customWidth="1"/>
    <col min="115" max="115" width="17.109375" style="15" bestFit="1" customWidth="1"/>
    <col min="116" max="116" width="7.6640625" style="15" bestFit="1" customWidth="1"/>
    <col min="117" max="117" width="19.88671875" style="15" bestFit="1" customWidth="1"/>
    <col min="118" max="118" width="14.6640625" style="15" bestFit="1" customWidth="1"/>
    <col min="119" max="124" width="7.6640625" style="15" bestFit="1" customWidth="1"/>
    <col min="125" max="125" width="17.5546875" style="15" bestFit="1" customWidth="1"/>
    <col min="126" max="126" width="13.44140625" style="15" bestFit="1" customWidth="1"/>
    <col min="127" max="127" width="7.6640625" style="15" bestFit="1" customWidth="1"/>
    <col min="128" max="128" width="16.21875" style="15" bestFit="1" customWidth="1"/>
    <col min="129" max="129" width="15.88671875" style="15" bestFit="1" customWidth="1"/>
    <col min="130" max="130" width="7.6640625" style="15" bestFit="1" customWidth="1"/>
    <col min="131" max="131" width="18.6640625" style="15" bestFit="1" customWidth="1"/>
    <col min="132" max="132" width="12.5546875" style="15" bestFit="1" customWidth="1"/>
    <col min="133" max="133" width="7.6640625" style="15" bestFit="1" customWidth="1"/>
    <col min="134" max="134" width="15.33203125" style="15" bestFit="1" customWidth="1"/>
    <col min="135" max="135" width="15.109375" style="15" bestFit="1" customWidth="1"/>
    <col min="136" max="137" width="7.6640625" style="15" bestFit="1" customWidth="1"/>
    <col min="138" max="138" width="17.88671875" style="15" bestFit="1" customWidth="1"/>
    <col min="139" max="139" width="15.44140625" style="15" bestFit="1" customWidth="1"/>
    <col min="140" max="140" width="18.21875" style="15" bestFit="1" customWidth="1"/>
    <col min="141" max="141" width="15.5546875" style="15" bestFit="1" customWidth="1"/>
    <col min="142" max="142" width="18.33203125" style="15" bestFit="1" customWidth="1"/>
    <col min="143" max="143" width="16.109375" style="15" bestFit="1" customWidth="1"/>
    <col min="144" max="144" width="18.88671875" style="15" bestFit="1" customWidth="1"/>
    <col min="145" max="145" width="18.44140625" style="15" bestFit="1" customWidth="1"/>
    <col min="146" max="146" width="7.6640625" style="15" bestFit="1" customWidth="1"/>
    <col min="147" max="147" width="21.33203125" style="15" bestFit="1" customWidth="1"/>
    <col min="148" max="148" width="14" style="15" bestFit="1" customWidth="1"/>
    <col min="149" max="149" width="7.6640625" style="15" bestFit="1" customWidth="1"/>
    <col min="150" max="150" width="16.77734375" style="15" bestFit="1" customWidth="1"/>
    <col min="151" max="151" width="13.6640625" style="15" bestFit="1" customWidth="1"/>
    <col min="152" max="158" width="7.6640625" style="15" bestFit="1" customWidth="1"/>
    <col min="159" max="159" width="16.44140625" style="15" bestFit="1" customWidth="1"/>
    <col min="160" max="160" width="17.44140625" style="15" bestFit="1" customWidth="1"/>
    <col min="161" max="164" width="7.6640625" style="15" bestFit="1" customWidth="1"/>
    <col min="165" max="165" width="20.21875" style="15" bestFit="1" customWidth="1"/>
    <col min="166" max="166" width="12.6640625" style="15" bestFit="1" customWidth="1"/>
    <col min="167" max="167" width="15.44140625" style="15" bestFit="1" customWidth="1"/>
    <col min="168" max="168" width="16.6640625" style="15" bestFit="1" customWidth="1"/>
    <col min="169" max="169" width="19.44140625" style="15" bestFit="1" customWidth="1"/>
    <col min="170" max="170" width="14.21875" style="15" bestFit="1" customWidth="1"/>
    <col min="171" max="171" width="7.6640625" style="15" bestFit="1" customWidth="1"/>
    <col min="172" max="172" width="17" style="15" bestFit="1" customWidth="1"/>
    <col min="173" max="173" width="12.21875" style="15" bestFit="1" customWidth="1"/>
    <col min="174" max="178" width="7.6640625" style="15" bestFit="1" customWidth="1"/>
    <col min="179" max="179" width="15" style="15" bestFit="1" customWidth="1"/>
    <col min="180" max="180" width="20" style="15" bestFit="1" customWidth="1"/>
    <col min="181" max="181" width="22.77734375" style="15" bestFit="1" customWidth="1"/>
    <col min="182" max="182" width="13.6640625" style="15" bestFit="1" customWidth="1"/>
    <col min="183" max="185" width="7.6640625" style="15" bestFit="1" customWidth="1"/>
    <col min="186" max="186" width="16.44140625" style="15" bestFit="1" customWidth="1"/>
    <col min="187" max="187" width="14.5546875" style="15" bestFit="1" customWidth="1"/>
    <col min="188" max="188" width="7.6640625" style="15" bestFit="1" customWidth="1"/>
    <col min="189" max="189" width="17.44140625" style="15" bestFit="1" customWidth="1"/>
    <col min="190" max="190" width="13.88671875" style="15" bestFit="1" customWidth="1"/>
    <col min="191" max="191" width="7.6640625" style="15" bestFit="1" customWidth="1"/>
    <col min="192" max="192" width="16.6640625" style="15" bestFit="1" customWidth="1"/>
    <col min="193" max="193" width="10.88671875" style="15" bestFit="1" customWidth="1"/>
    <col min="194" max="194" width="13.6640625" style="15" bestFit="1" customWidth="1"/>
    <col min="195" max="195" width="15.21875" style="15" bestFit="1" customWidth="1"/>
    <col min="196" max="196" width="18" style="15" bestFit="1" customWidth="1"/>
    <col min="197" max="197" width="11.77734375" style="15" bestFit="1" customWidth="1"/>
    <col min="198" max="198" width="14.5546875" style="15" bestFit="1" customWidth="1"/>
    <col min="199" max="199" width="14.33203125" style="15" bestFit="1" customWidth="1"/>
    <col min="200" max="200" width="7.6640625" style="15" bestFit="1" customWidth="1"/>
    <col min="201" max="201" width="17.21875" style="15" bestFit="1" customWidth="1"/>
    <col min="202" max="202" width="12.33203125" style="15" bestFit="1" customWidth="1"/>
    <col min="203" max="206" width="7.6640625" style="15" bestFit="1" customWidth="1"/>
    <col min="207" max="207" width="15.109375" style="15" bestFit="1" customWidth="1"/>
    <col min="208" max="208" width="9.33203125" style="15" bestFit="1" customWidth="1"/>
    <col min="209" max="209" width="12" style="15" bestFit="1" customWidth="1"/>
    <col min="210" max="210" width="17.5546875" style="15" bestFit="1" customWidth="1"/>
    <col min="211" max="212" width="7.6640625" style="15" bestFit="1" customWidth="1"/>
    <col min="213" max="213" width="20.33203125" style="15" bestFit="1" customWidth="1"/>
    <col min="214" max="214" width="12.21875" style="15" bestFit="1" customWidth="1"/>
    <col min="215" max="215" width="7.6640625" style="15" bestFit="1" customWidth="1"/>
    <col min="216" max="216" width="15" style="15" bestFit="1" customWidth="1"/>
    <col min="217" max="217" width="13.77734375" style="15" bestFit="1" customWidth="1"/>
    <col min="218" max="222" width="7.6640625" style="15" bestFit="1" customWidth="1"/>
    <col min="223" max="223" width="16.5546875" style="15" bestFit="1" customWidth="1"/>
    <col min="224" max="224" width="10.109375" style="15" bestFit="1" customWidth="1"/>
    <col min="225" max="227" width="7.6640625" style="15" bestFit="1" customWidth="1"/>
    <col min="228" max="228" width="12.77734375" style="15" bestFit="1" customWidth="1"/>
    <col min="229" max="229" width="11.6640625" style="15" bestFit="1" customWidth="1"/>
    <col min="230" max="230" width="14.44140625" style="15" bestFit="1" customWidth="1"/>
    <col min="231" max="231" width="17.33203125" style="15" bestFit="1" customWidth="1"/>
    <col min="232" max="237" width="7.6640625" style="15" bestFit="1" customWidth="1"/>
    <col min="238" max="238" width="20.109375" style="15" bestFit="1" customWidth="1"/>
    <col min="239" max="239" width="19.21875" style="15" bestFit="1" customWidth="1"/>
    <col min="240" max="241" width="7.6640625" style="15" bestFit="1" customWidth="1"/>
    <col min="242" max="242" width="22" style="15" bestFit="1" customWidth="1"/>
    <col min="243" max="243" width="15.109375" style="15" bestFit="1" customWidth="1"/>
    <col min="244" max="244" width="17.88671875" style="15" bestFit="1" customWidth="1"/>
    <col min="245" max="245" width="17" style="15" bestFit="1" customWidth="1"/>
    <col min="246" max="246" width="7.6640625" style="15" bestFit="1" customWidth="1"/>
    <col min="247" max="247" width="19.77734375" style="15" bestFit="1" customWidth="1"/>
    <col min="248" max="248" width="14.21875" style="15" bestFit="1" customWidth="1"/>
    <col min="249" max="249" width="17" style="15" bestFit="1" customWidth="1"/>
    <col min="250" max="250" width="16.88671875" style="15" bestFit="1" customWidth="1"/>
    <col min="251" max="257" width="7.6640625" style="15" bestFit="1" customWidth="1"/>
    <col min="258" max="258" width="19.6640625" style="15" bestFit="1" customWidth="1"/>
    <col min="259" max="259" width="16.109375" style="15" bestFit="1" customWidth="1"/>
    <col min="260" max="260" width="7.6640625" style="15" bestFit="1" customWidth="1"/>
    <col min="261" max="261" width="18.88671875" style="15" bestFit="1" customWidth="1"/>
    <col min="262" max="262" width="13.6640625" style="15" bestFit="1" customWidth="1"/>
    <col min="263" max="263" width="7.6640625" style="15" bestFit="1" customWidth="1"/>
    <col min="264" max="264" width="16.44140625" style="15" bestFit="1" customWidth="1"/>
    <col min="265" max="265" width="13.77734375" style="15" bestFit="1" customWidth="1"/>
    <col min="266" max="266" width="16.5546875" style="15" bestFit="1" customWidth="1"/>
    <col min="267" max="267" width="14.44140625" style="15" bestFit="1" customWidth="1"/>
    <col min="268" max="270" width="7.6640625" style="15" bestFit="1" customWidth="1"/>
    <col min="271" max="271" width="17.33203125" style="15" bestFit="1" customWidth="1"/>
    <col min="272" max="272" width="17.44140625" style="15" bestFit="1" customWidth="1"/>
    <col min="273" max="273" width="20.21875" style="15" bestFit="1" customWidth="1"/>
    <col min="274" max="274" width="12.5546875" style="15" bestFit="1" customWidth="1"/>
    <col min="275" max="275" width="15.33203125" style="15" bestFit="1" customWidth="1"/>
    <col min="276" max="276" width="8" style="15" bestFit="1" customWidth="1"/>
    <col min="277" max="278" width="7.6640625" style="15" bestFit="1" customWidth="1"/>
    <col min="279" max="279" width="10.6640625" style="15" bestFit="1" customWidth="1"/>
    <col min="280" max="280" width="12.5546875" style="15" bestFit="1" customWidth="1"/>
    <col min="281" max="281" width="15.33203125" style="15" bestFit="1" customWidth="1"/>
    <col min="282" max="282" width="11.77734375" style="15" bestFit="1" customWidth="1"/>
    <col min="283" max="285" width="7.6640625" style="15" bestFit="1" customWidth="1"/>
    <col min="286" max="286" width="14.5546875" style="15" bestFit="1" customWidth="1"/>
    <col min="287" max="287" width="27.21875" style="15" bestFit="1" customWidth="1"/>
    <col min="288" max="292" width="7.6640625" style="15" bestFit="1" customWidth="1"/>
    <col min="293" max="293" width="30.109375" style="15" bestFit="1" customWidth="1"/>
    <col min="294" max="294" width="16.77734375" style="15" bestFit="1" customWidth="1"/>
    <col min="295" max="301" width="7.6640625" style="15" bestFit="1" customWidth="1"/>
    <col min="302" max="302" width="19.5546875" style="15" bestFit="1" customWidth="1"/>
    <col min="303" max="303" width="16.6640625" style="15" bestFit="1" customWidth="1"/>
    <col min="304" max="304" width="7.6640625" style="15" bestFit="1" customWidth="1"/>
    <col min="305" max="305" width="19.44140625" style="15" bestFit="1" customWidth="1"/>
    <col min="306" max="306" width="13.33203125" style="15" bestFit="1" customWidth="1"/>
    <col min="307" max="307" width="7.6640625" style="15" bestFit="1" customWidth="1"/>
    <col min="308" max="308" width="16.109375" style="15" bestFit="1" customWidth="1"/>
    <col min="309" max="309" width="12.109375" style="15" bestFit="1" customWidth="1"/>
    <col min="310" max="310" width="7.6640625" style="15" bestFit="1" customWidth="1"/>
    <col min="311" max="311" width="14.88671875" style="15" bestFit="1" customWidth="1"/>
    <col min="312" max="312" width="14.44140625" style="15" bestFit="1" customWidth="1"/>
    <col min="313" max="316" width="7.6640625" style="15" bestFit="1" customWidth="1"/>
    <col min="317" max="317" width="17.33203125" style="15" bestFit="1" customWidth="1"/>
    <col min="318" max="318" width="16.6640625" style="15" bestFit="1" customWidth="1"/>
    <col min="319" max="323" width="7.6640625" style="15" bestFit="1" customWidth="1"/>
    <col min="324" max="324" width="19.44140625" style="15" bestFit="1" customWidth="1"/>
    <col min="325" max="325" width="16.109375" style="15" bestFit="1" customWidth="1"/>
    <col min="326" max="327" width="7.6640625" style="15" bestFit="1" customWidth="1"/>
    <col min="328" max="328" width="18.88671875" style="15" bestFit="1" customWidth="1"/>
    <col min="329" max="329" width="13" style="15" bestFit="1" customWidth="1"/>
    <col min="330" max="333" width="7.6640625" style="15" bestFit="1" customWidth="1"/>
    <col min="334" max="334" width="15.77734375" style="15" bestFit="1" customWidth="1"/>
    <col min="335" max="335" width="7.6640625" style="15" bestFit="1" customWidth="1"/>
    <col min="336" max="336" width="10.21875" style="15" bestFit="1" customWidth="1"/>
    <col min="337" max="337" width="15.33203125" style="15" bestFit="1" customWidth="1"/>
    <col min="338" max="340" width="7.6640625" style="15" bestFit="1" customWidth="1"/>
    <col min="341" max="341" width="18.109375" style="15" bestFit="1" customWidth="1"/>
    <col min="342" max="342" width="16.109375" style="15" bestFit="1" customWidth="1"/>
    <col min="343" max="349" width="7.6640625" style="15" bestFit="1" customWidth="1"/>
    <col min="350" max="350" width="18.88671875" style="15" bestFit="1" customWidth="1"/>
    <col min="351" max="351" width="16.6640625" style="15" bestFit="1" customWidth="1"/>
    <col min="352" max="352" width="7.6640625" style="15" bestFit="1" customWidth="1"/>
    <col min="353" max="353" width="19.44140625" style="15" bestFit="1" customWidth="1"/>
    <col min="354" max="354" width="18.44140625" style="15" bestFit="1" customWidth="1"/>
    <col min="355" max="355" width="7.6640625" style="15" bestFit="1" customWidth="1"/>
    <col min="356" max="356" width="21.33203125" style="15" bestFit="1" customWidth="1"/>
    <col min="357" max="357" width="17.6640625" style="15" bestFit="1" customWidth="1"/>
    <col min="358" max="358" width="7.6640625" style="15" bestFit="1" customWidth="1"/>
    <col min="359" max="359" width="20.44140625" style="15" bestFit="1" customWidth="1"/>
    <col min="360" max="360" width="14.21875" style="15" bestFit="1" customWidth="1"/>
    <col min="361" max="361" width="17" style="15" bestFit="1" customWidth="1"/>
    <col min="362" max="362" width="13.88671875" style="15" bestFit="1" customWidth="1"/>
    <col min="363" max="364" width="7.6640625" style="15" bestFit="1" customWidth="1"/>
    <col min="365" max="365" width="16.6640625" style="15" bestFit="1" customWidth="1"/>
    <col min="366" max="366" width="15.88671875" style="15" bestFit="1" customWidth="1"/>
    <col min="367" max="367" width="18.6640625" style="15" bestFit="1" customWidth="1"/>
    <col min="368" max="368" width="8.6640625" style="15" bestFit="1" customWidth="1"/>
    <col min="369" max="370" width="7.6640625" style="15" bestFit="1" customWidth="1"/>
    <col min="371" max="371" width="11.33203125" style="15" bestFit="1" customWidth="1"/>
    <col min="372" max="372" width="16.33203125" style="15" bestFit="1" customWidth="1"/>
    <col min="373" max="373" width="19.109375" style="15" bestFit="1" customWidth="1"/>
    <col min="374" max="374" width="16.44140625" style="15" bestFit="1" customWidth="1"/>
    <col min="375" max="375" width="19.21875" style="15" bestFit="1" customWidth="1"/>
    <col min="376" max="376" width="18.77734375" style="15" bestFit="1" customWidth="1"/>
    <col min="377" max="377" width="21.6640625" style="15" bestFit="1" customWidth="1"/>
    <col min="378" max="378" width="10.77734375" style="15" bestFit="1" customWidth="1"/>
    <col min="379" max="16384" width="8.88671875" style="15"/>
  </cols>
  <sheetData>
    <row r="3" spans="1:16" x14ac:dyDescent="0.3">
      <c r="A3" s="14" t="s">
        <v>143</v>
      </c>
      <c r="B3" s="14" t="s">
        <v>142</v>
      </c>
    </row>
    <row r="4" spans="1:16" x14ac:dyDescent="0.3">
      <c r="A4" s="14" t="s">
        <v>140</v>
      </c>
      <c r="B4" s="15" t="s">
        <v>12</v>
      </c>
      <c r="C4" s="15" t="s">
        <v>53</v>
      </c>
      <c r="D4" s="15" t="s">
        <v>76</v>
      </c>
      <c r="E4" s="15" t="s">
        <v>88</v>
      </c>
      <c r="F4" s="15" t="s">
        <v>99</v>
      </c>
      <c r="G4" s="15" t="s">
        <v>107</v>
      </c>
      <c r="H4" s="15" t="s">
        <v>119</v>
      </c>
      <c r="I4" s="15" t="s">
        <v>128</v>
      </c>
      <c r="J4" s="15" t="s">
        <v>141</v>
      </c>
      <c r="L4" s="21" t="s">
        <v>144</v>
      </c>
      <c r="M4" s="21"/>
      <c r="N4" s="21"/>
      <c r="O4" s="21"/>
      <c r="P4" s="21"/>
    </row>
    <row r="5" spans="1:16" x14ac:dyDescent="0.3">
      <c r="A5" s="19" t="s">
        <v>45</v>
      </c>
      <c r="B5" s="17">
        <v>1</v>
      </c>
      <c r="C5" s="17"/>
      <c r="D5" s="17"/>
      <c r="E5" s="17"/>
      <c r="F5" s="17"/>
      <c r="G5" s="17"/>
      <c r="H5" s="17"/>
      <c r="I5" s="17"/>
      <c r="J5" s="17">
        <v>1</v>
      </c>
      <c r="L5" s="21"/>
      <c r="M5" s="21"/>
      <c r="N5" s="21"/>
      <c r="O5" s="21"/>
      <c r="P5" s="21"/>
    </row>
    <row r="6" spans="1:16" x14ac:dyDescent="0.3">
      <c r="A6" s="19" t="s">
        <v>79</v>
      </c>
      <c r="B6" s="17"/>
      <c r="C6" s="17"/>
      <c r="D6" s="17">
        <v>1</v>
      </c>
      <c r="E6" s="17"/>
      <c r="F6" s="17"/>
      <c r="G6" s="17"/>
      <c r="H6" s="17"/>
      <c r="I6" s="17"/>
      <c r="J6" s="17">
        <v>1</v>
      </c>
      <c r="L6" s="21"/>
      <c r="M6" s="21"/>
      <c r="N6" s="21"/>
      <c r="O6" s="21"/>
      <c r="P6" s="21"/>
    </row>
    <row r="7" spans="1:16" x14ac:dyDescent="0.3">
      <c r="A7" s="19" t="s">
        <v>61</v>
      </c>
      <c r="B7" s="17"/>
      <c r="C7" s="17">
        <v>2</v>
      </c>
      <c r="D7" s="17"/>
      <c r="E7" s="17"/>
      <c r="F7" s="17"/>
      <c r="G7" s="17"/>
      <c r="H7" s="17"/>
      <c r="I7" s="17"/>
      <c r="J7" s="17">
        <v>2</v>
      </c>
      <c r="L7" s="21"/>
      <c r="M7" s="21"/>
      <c r="N7" s="21"/>
      <c r="O7" s="21"/>
      <c r="P7" s="21"/>
    </row>
    <row r="8" spans="1:16" x14ac:dyDescent="0.3">
      <c r="A8" s="19" t="s">
        <v>19</v>
      </c>
      <c r="B8" s="17">
        <v>2</v>
      </c>
      <c r="C8" s="17"/>
      <c r="D8" s="17"/>
      <c r="E8" s="17"/>
      <c r="F8" s="17"/>
      <c r="G8" s="17"/>
      <c r="H8" s="17"/>
      <c r="I8" s="17"/>
      <c r="J8" s="17">
        <v>2</v>
      </c>
      <c r="L8" s="21"/>
      <c r="M8" s="21"/>
      <c r="N8" s="21"/>
      <c r="O8" s="21"/>
      <c r="P8" s="21"/>
    </row>
    <row r="9" spans="1:16" x14ac:dyDescent="0.3">
      <c r="A9" s="19" t="s">
        <v>62</v>
      </c>
      <c r="B9" s="17"/>
      <c r="C9" s="17">
        <v>2</v>
      </c>
      <c r="D9" s="17"/>
      <c r="E9" s="17"/>
      <c r="F9" s="17"/>
      <c r="G9" s="17"/>
      <c r="H9" s="17"/>
      <c r="I9" s="17"/>
      <c r="J9" s="17">
        <v>2</v>
      </c>
      <c r="L9" s="21"/>
      <c r="M9" s="21"/>
      <c r="N9" s="21"/>
      <c r="O9" s="21"/>
      <c r="P9" s="21"/>
    </row>
    <row r="10" spans="1:16" x14ac:dyDescent="0.3">
      <c r="A10" s="19" t="s">
        <v>31</v>
      </c>
      <c r="B10" s="17">
        <v>2</v>
      </c>
      <c r="C10" s="17"/>
      <c r="D10" s="17"/>
      <c r="E10" s="17"/>
      <c r="F10" s="17"/>
      <c r="G10" s="17"/>
      <c r="H10" s="17"/>
      <c r="I10" s="17"/>
      <c r="J10" s="17">
        <v>2</v>
      </c>
    </row>
    <row r="11" spans="1:16" x14ac:dyDescent="0.3">
      <c r="A11" s="19" t="s">
        <v>122</v>
      </c>
      <c r="B11" s="17"/>
      <c r="C11" s="17"/>
      <c r="D11" s="17"/>
      <c r="E11" s="17"/>
      <c r="F11" s="17"/>
      <c r="G11" s="17"/>
      <c r="H11" s="17">
        <v>2</v>
      </c>
      <c r="I11" s="17"/>
      <c r="J11" s="17">
        <v>2</v>
      </c>
    </row>
    <row r="12" spans="1:16" x14ac:dyDescent="0.3">
      <c r="A12" s="19" t="s">
        <v>110</v>
      </c>
      <c r="B12" s="17"/>
      <c r="C12" s="17"/>
      <c r="D12" s="17"/>
      <c r="E12" s="17"/>
      <c r="F12" s="17"/>
      <c r="G12" s="17">
        <v>3</v>
      </c>
      <c r="H12" s="17"/>
      <c r="I12" s="17"/>
      <c r="J12" s="17">
        <v>3</v>
      </c>
    </row>
    <row r="13" spans="1:16" x14ac:dyDescent="0.3">
      <c r="A13" s="19" t="s">
        <v>77</v>
      </c>
      <c r="B13" s="17"/>
      <c r="C13" s="17"/>
      <c r="D13" s="17">
        <v>3</v>
      </c>
      <c r="E13" s="17"/>
      <c r="F13" s="17"/>
      <c r="G13" s="17"/>
      <c r="H13" s="17"/>
      <c r="I13" s="17"/>
      <c r="J13" s="17">
        <v>3</v>
      </c>
    </row>
    <row r="14" spans="1:16" x14ac:dyDescent="0.3">
      <c r="A14" s="19" t="s">
        <v>120</v>
      </c>
      <c r="B14" s="17"/>
      <c r="C14" s="17"/>
      <c r="D14" s="17"/>
      <c r="E14" s="17"/>
      <c r="F14" s="17"/>
      <c r="G14" s="17"/>
      <c r="H14" s="17">
        <v>2</v>
      </c>
      <c r="I14" s="17">
        <v>1</v>
      </c>
      <c r="J14" s="17">
        <v>3</v>
      </c>
    </row>
    <row r="15" spans="1:16" x14ac:dyDescent="0.3">
      <c r="A15" s="19" t="s">
        <v>129</v>
      </c>
      <c r="B15" s="17"/>
      <c r="C15" s="17"/>
      <c r="D15" s="17"/>
      <c r="E15" s="17"/>
      <c r="F15" s="17"/>
      <c r="G15" s="17"/>
      <c r="H15" s="17"/>
      <c r="I15" s="17">
        <v>3</v>
      </c>
      <c r="J15" s="17">
        <v>3</v>
      </c>
    </row>
    <row r="16" spans="1:16" x14ac:dyDescent="0.3">
      <c r="A16" s="19" t="s">
        <v>138</v>
      </c>
      <c r="B16" s="17"/>
      <c r="C16" s="17"/>
      <c r="D16" s="17"/>
      <c r="E16" s="17"/>
      <c r="F16" s="17"/>
      <c r="G16" s="17"/>
      <c r="H16" s="17"/>
      <c r="I16" s="17">
        <v>3</v>
      </c>
      <c r="J16" s="17">
        <v>3</v>
      </c>
    </row>
    <row r="17" spans="1:10" x14ac:dyDescent="0.3">
      <c r="A17" s="19" t="s">
        <v>124</v>
      </c>
      <c r="B17" s="17"/>
      <c r="C17" s="17"/>
      <c r="D17" s="17"/>
      <c r="E17" s="17"/>
      <c r="F17" s="17"/>
      <c r="G17" s="17"/>
      <c r="H17" s="17">
        <v>3</v>
      </c>
      <c r="I17" s="17"/>
      <c r="J17" s="17">
        <v>3</v>
      </c>
    </row>
    <row r="18" spans="1:10" x14ac:dyDescent="0.3">
      <c r="A18" s="19" t="s">
        <v>78</v>
      </c>
      <c r="B18" s="17"/>
      <c r="C18" s="17"/>
      <c r="D18" s="17">
        <v>4</v>
      </c>
      <c r="E18" s="17"/>
      <c r="F18" s="17"/>
      <c r="G18" s="17"/>
      <c r="H18" s="17"/>
      <c r="I18" s="17"/>
      <c r="J18" s="17">
        <v>4</v>
      </c>
    </row>
    <row r="19" spans="1:10" x14ac:dyDescent="0.3">
      <c r="A19" s="19" t="s">
        <v>112</v>
      </c>
      <c r="B19" s="17"/>
      <c r="C19" s="17"/>
      <c r="D19" s="17"/>
      <c r="E19" s="17"/>
      <c r="F19" s="17"/>
      <c r="G19" s="17">
        <v>4</v>
      </c>
      <c r="H19" s="17"/>
      <c r="I19" s="17"/>
      <c r="J19" s="17">
        <v>4</v>
      </c>
    </row>
    <row r="20" spans="1:10" x14ac:dyDescent="0.3">
      <c r="A20" s="19" t="s">
        <v>113</v>
      </c>
      <c r="B20" s="17"/>
      <c r="C20" s="17"/>
      <c r="D20" s="17"/>
      <c r="E20" s="17"/>
      <c r="F20" s="17"/>
      <c r="G20" s="17">
        <v>4</v>
      </c>
      <c r="H20" s="17"/>
      <c r="I20" s="17"/>
      <c r="J20" s="17">
        <v>4</v>
      </c>
    </row>
    <row r="21" spans="1:10" x14ac:dyDescent="0.3">
      <c r="A21" s="19" t="s">
        <v>58</v>
      </c>
      <c r="B21" s="17"/>
      <c r="C21" s="17">
        <v>5</v>
      </c>
      <c r="D21" s="17"/>
      <c r="E21" s="17"/>
      <c r="F21" s="17"/>
      <c r="G21" s="17"/>
      <c r="H21" s="17"/>
      <c r="I21" s="17"/>
      <c r="J21" s="17">
        <v>5</v>
      </c>
    </row>
    <row r="22" spans="1:10" x14ac:dyDescent="0.3">
      <c r="A22" s="19" t="s">
        <v>105</v>
      </c>
      <c r="B22" s="17"/>
      <c r="C22" s="17"/>
      <c r="D22" s="17"/>
      <c r="E22" s="17"/>
      <c r="F22" s="17">
        <v>5</v>
      </c>
      <c r="G22" s="17"/>
      <c r="H22" s="17"/>
      <c r="I22" s="17"/>
      <c r="J22" s="17">
        <v>5</v>
      </c>
    </row>
    <row r="23" spans="1:10" x14ac:dyDescent="0.3">
      <c r="A23" s="19" t="s">
        <v>116</v>
      </c>
      <c r="B23" s="17"/>
      <c r="C23" s="17"/>
      <c r="D23" s="17"/>
      <c r="E23" s="17"/>
      <c r="F23" s="17"/>
      <c r="G23" s="17">
        <v>5</v>
      </c>
      <c r="H23" s="17"/>
      <c r="I23" s="17"/>
      <c r="J23" s="17">
        <v>5</v>
      </c>
    </row>
    <row r="24" spans="1:10" x14ac:dyDescent="0.3">
      <c r="A24" s="19" t="s">
        <v>126</v>
      </c>
      <c r="B24" s="17"/>
      <c r="C24" s="17"/>
      <c r="D24" s="17"/>
      <c r="E24" s="17"/>
      <c r="F24" s="17"/>
      <c r="G24" s="17"/>
      <c r="H24" s="17">
        <v>5</v>
      </c>
      <c r="I24" s="17"/>
      <c r="J24" s="17">
        <v>5</v>
      </c>
    </row>
    <row r="25" spans="1:10" x14ac:dyDescent="0.3">
      <c r="A25" s="19" t="s">
        <v>134</v>
      </c>
      <c r="B25" s="17"/>
      <c r="C25" s="17"/>
      <c r="D25" s="17"/>
      <c r="E25" s="17"/>
      <c r="F25" s="17"/>
      <c r="G25" s="17"/>
      <c r="H25" s="17"/>
      <c r="I25" s="17">
        <v>6</v>
      </c>
      <c r="J25" s="17">
        <v>6</v>
      </c>
    </row>
    <row r="26" spans="1:10" x14ac:dyDescent="0.3">
      <c r="A26" s="19" t="s">
        <v>87</v>
      </c>
      <c r="B26" s="17"/>
      <c r="C26" s="17"/>
      <c r="D26" s="17">
        <v>6</v>
      </c>
      <c r="E26" s="17"/>
      <c r="F26" s="17"/>
      <c r="G26" s="17"/>
      <c r="H26" s="17"/>
      <c r="I26" s="17"/>
      <c r="J26" s="17">
        <v>6</v>
      </c>
    </row>
    <row r="27" spans="1:10" x14ac:dyDescent="0.3">
      <c r="A27" s="19" t="s">
        <v>24</v>
      </c>
      <c r="B27" s="17">
        <v>6</v>
      </c>
      <c r="C27" s="17"/>
      <c r="D27" s="17"/>
      <c r="E27" s="17"/>
      <c r="F27" s="17"/>
      <c r="G27" s="17"/>
      <c r="H27" s="17"/>
      <c r="I27" s="17"/>
      <c r="J27" s="17">
        <v>6</v>
      </c>
    </row>
    <row r="28" spans="1:10" x14ac:dyDescent="0.3">
      <c r="A28" s="19" t="s">
        <v>133</v>
      </c>
      <c r="B28" s="17"/>
      <c r="C28" s="17"/>
      <c r="D28" s="17"/>
      <c r="E28" s="17"/>
      <c r="F28" s="17"/>
      <c r="G28" s="17"/>
      <c r="H28" s="17"/>
      <c r="I28" s="17">
        <v>7</v>
      </c>
      <c r="J28" s="17">
        <v>7</v>
      </c>
    </row>
    <row r="29" spans="1:10" x14ac:dyDescent="0.3">
      <c r="A29" s="19" t="s">
        <v>44</v>
      </c>
      <c r="B29" s="17">
        <v>8</v>
      </c>
      <c r="C29" s="17"/>
      <c r="D29" s="17"/>
      <c r="E29" s="17"/>
      <c r="F29" s="17"/>
      <c r="G29" s="17"/>
      <c r="H29" s="17"/>
      <c r="I29" s="17"/>
      <c r="J29" s="17">
        <v>8</v>
      </c>
    </row>
    <row r="30" spans="1:10" x14ac:dyDescent="0.3">
      <c r="A30" s="19" t="s">
        <v>98</v>
      </c>
      <c r="B30" s="17"/>
      <c r="C30" s="17"/>
      <c r="D30" s="17"/>
      <c r="E30" s="17">
        <v>4</v>
      </c>
      <c r="F30" s="17">
        <v>5</v>
      </c>
      <c r="G30" s="17"/>
      <c r="H30" s="17"/>
      <c r="I30" s="17"/>
      <c r="J30" s="17">
        <v>9</v>
      </c>
    </row>
    <row r="31" spans="1:10" x14ac:dyDescent="0.3">
      <c r="A31" s="19" t="s">
        <v>136</v>
      </c>
      <c r="B31" s="17"/>
      <c r="C31" s="17"/>
      <c r="D31" s="17"/>
      <c r="E31" s="17"/>
      <c r="F31" s="17"/>
      <c r="G31" s="17"/>
      <c r="H31" s="17"/>
      <c r="I31" s="17">
        <v>9</v>
      </c>
      <c r="J31" s="17">
        <v>9</v>
      </c>
    </row>
    <row r="32" spans="1:10" x14ac:dyDescent="0.3">
      <c r="A32" s="19" t="s">
        <v>137</v>
      </c>
      <c r="B32" s="17"/>
      <c r="C32" s="17"/>
      <c r="D32" s="17"/>
      <c r="E32" s="17"/>
      <c r="F32" s="17"/>
      <c r="G32" s="17"/>
      <c r="H32" s="17"/>
      <c r="I32" s="17">
        <v>9</v>
      </c>
      <c r="J32" s="17">
        <v>9</v>
      </c>
    </row>
    <row r="33" spans="1:10" x14ac:dyDescent="0.3">
      <c r="A33" s="19" t="s">
        <v>41</v>
      </c>
      <c r="B33" s="17">
        <v>10</v>
      </c>
      <c r="C33" s="17"/>
      <c r="D33" s="17"/>
      <c r="E33" s="17"/>
      <c r="F33" s="17"/>
      <c r="G33" s="17"/>
      <c r="H33" s="17"/>
      <c r="I33" s="17"/>
      <c r="J33" s="17">
        <v>10</v>
      </c>
    </row>
    <row r="34" spans="1:10" x14ac:dyDescent="0.3">
      <c r="A34" s="19" t="s">
        <v>131</v>
      </c>
      <c r="B34" s="17"/>
      <c r="C34" s="17"/>
      <c r="D34" s="17"/>
      <c r="E34" s="17"/>
      <c r="F34" s="17"/>
      <c r="G34" s="17"/>
      <c r="H34" s="17"/>
      <c r="I34" s="17">
        <v>11</v>
      </c>
      <c r="J34" s="17">
        <v>11</v>
      </c>
    </row>
    <row r="35" spans="1:10" x14ac:dyDescent="0.3">
      <c r="A35" s="19" t="s">
        <v>81</v>
      </c>
      <c r="B35" s="17"/>
      <c r="C35" s="17"/>
      <c r="D35" s="17">
        <v>6</v>
      </c>
      <c r="E35" s="17"/>
      <c r="F35" s="17"/>
      <c r="G35" s="17">
        <v>6</v>
      </c>
      <c r="H35" s="17"/>
      <c r="I35" s="17"/>
      <c r="J35" s="17">
        <v>12</v>
      </c>
    </row>
    <row r="36" spans="1:10" x14ac:dyDescent="0.3">
      <c r="A36" s="19" t="s">
        <v>18</v>
      </c>
      <c r="B36" s="17">
        <v>6</v>
      </c>
      <c r="C36" s="17">
        <v>6</v>
      </c>
      <c r="D36" s="17"/>
      <c r="E36" s="17"/>
      <c r="F36" s="17"/>
      <c r="G36" s="17"/>
      <c r="H36" s="17"/>
      <c r="I36" s="17"/>
      <c r="J36" s="17">
        <v>12</v>
      </c>
    </row>
    <row r="37" spans="1:10" x14ac:dyDescent="0.3">
      <c r="A37" s="19" t="s">
        <v>135</v>
      </c>
      <c r="B37" s="17"/>
      <c r="C37" s="17"/>
      <c r="D37" s="17"/>
      <c r="E37" s="17"/>
      <c r="F37" s="17"/>
      <c r="G37" s="17"/>
      <c r="H37" s="17"/>
      <c r="I37" s="17">
        <v>12</v>
      </c>
      <c r="J37" s="17">
        <v>12</v>
      </c>
    </row>
    <row r="38" spans="1:10" x14ac:dyDescent="0.3">
      <c r="A38" s="19" t="s">
        <v>132</v>
      </c>
      <c r="B38" s="17"/>
      <c r="C38" s="17"/>
      <c r="D38" s="17"/>
      <c r="E38" s="17"/>
      <c r="F38" s="17"/>
      <c r="G38" s="17"/>
      <c r="H38" s="17"/>
      <c r="I38" s="17">
        <v>12</v>
      </c>
      <c r="J38" s="17">
        <v>12</v>
      </c>
    </row>
    <row r="39" spans="1:10" x14ac:dyDescent="0.3">
      <c r="A39" s="19" t="s">
        <v>56</v>
      </c>
      <c r="B39" s="17"/>
      <c r="C39" s="17">
        <v>13</v>
      </c>
      <c r="D39" s="17"/>
      <c r="E39" s="17"/>
      <c r="F39" s="17"/>
      <c r="G39" s="17"/>
      <c r="H39" s="17"/>
      <c r="I39" s="17"/>
      <c r="J39" s="17">
        <v>13</v>
      </c>
    </row>
    <row r="40" spans="1:10" x14ac:dyDescent="0.3">
      <c r="A40" s="19" t="s">
        <v>17</v>
      </c>
      <c r="B40" s="17">
        <v>2</v>
      </c>
      <c r="C40" s="17"/>
      <c r="D40" s="17"/>
      <c r="E40" s="17"/>
      <c r="F40" s="17"/>
      <c r="G40" s="17"/>
      <c r="H40" s="17"/>
      <c r="I40" s="17">
        <v>12</v>
      </c>
      <c r="J40" s="17">
        <v>14</v>
      </c>
    </row>
    <row r="41" spans="1:10" x14ac:dyDescent="0.3">
      <c r="A41" s="19" t="s">
        <v>130</v>
      </c>
      <c r="B41" s="17"/>
      <c r="C41" s="17"/>
      <c r="D41" s="17"/>
      <c r="E41" s="17"/>
      <c r="F41" s="17"/>
      <c r="G41" s="17"/>
      <c r="H41" s="17"/>
      <c r="I41" s="17">
        <v>14</v>
      </c>
      <c r="J41" s="17">
        <v>14</v>
      </c>
    </row>
    <row r="42" spans="1:10" x14ac:dyDescent="0.3">
      <c r="A42" s="19" t="s">
        <v>55</v>
      </c>
      <c r="B42" s="17"/>
      <c r="C42" s="17">
        <v>14</v>
      </c>
      <c r="D42" s="17"/>
      <c r="E42" s="17"/>
      <c r="F42" s="17"/>
      <c r="G42" s="17"/>
      <c r="H42" s="17"/>
      <c r="I42" s="17"/>
      <c r="J42" s="17">
        <v>14</v>
      </c>
    </row>
    <row r="43" spans="1:10" x14ac:dyDescent="0.3">
      <c r="A43" s="19" t="s">
        <v>54</v>
      </c>
      <c r="B43" s="17"/>
      <c r="C43" s="17">
        <v>10</v>
      </c>
      <c r="D43" s="17"/>
      <c r="E43" s="17">
        <v>5</v>
      </c>
      <c r="F43" s="17"/>
      <c r="G43" s="17"/>
      <c r="H43" s="17"/>
      <c r="I43" s="17"/>
      <c r="J43" s="17">
        <v>15</v>
      </c>
    </row>
    <row r="44" spans="1:10" x14ac:dyDescent="0.3">
      <c r="A44" s="19" t="s">
        <v>90</v>
      </c>
      <c r="B44" s="17"/>
      <c r="C44" s="17"/>
      <c r="D44" s="17"/>
      <c r="E44" s="17">
        <v>6</v>
      </c>
      <c r="F44" s="17">
        <v>11</v>
      </c>
      <c r="G44" s="17"/>
      <c r="H44" s="17"/>
      <c r="I44" s="17"/>
      <c r="J44" s="17">
        <v>17</v>
      </c>
    </row>
    <row r="45" spans="1:10" x14ac:dyDescent="0.3">
      <c r="A45" s="19" t="s">
        <v>85</v>
      </c>
      <c r="B45" s="17"/>
      <c r="C45" s="17"/>
      <c r="D45" s="17">
        <v>10</v>
      </c>
      <c r="E45" s="17">
        <v>7</v>
      </c>
      <c r="F45" s="17"/>
      <c r="G45" s="17"/>
      <c r="H45" s="17"/>
      <c r="I45" s="17"/>
      <c r="J45" s="17">
        <v>17</v>
      </c>
    </row>
    <row r="46" spans="1:10" x14ac:dyDescent="0.3">
      <c r="A46" s="19" t="s">
        <v>30</v>
      </c>
      <c r="B46" s="17">
        <v>11</v>
      </c>
      <c r="C46" s="17"/>
      <c r="D46" s="17">
        <v>8</v>
      </c>
      <c r="E46" s="17"/>
      <c r="F46" s="17"/>
      <c r="G46" s="17"/>
      <c r="H46" s="17"/>
      <c r="I46" s="17"/>
      <c r="J46" s="17">
        <v>19</v>
      </c>
    </row>
    <row r="47" spans="1:10" x14ac:dyDescent="0.3">
      <c r="A47" s="19" t="s">
        <v>139</v>
      </c>
      <c r="B47" s="17"/>
      <c r="C47" s="17"/>
      <c r="D47" s="17"/>
      <c r="E47" s="17"/>
      <c r="F47" s="17"/>
      <c r="G47" s="17"/>
      <c r="H47" s="17"/>
      <c r="I47" s="17">
        <v>19</v>
      </c>
      <c r="J47" s="17">
        <v>19</v>
      </c>
    </row>
    <row r="48" spans="1:10" x14ac:dyDescent="0.3">
      <c r="A48" s="19" t="s">
        <v>50</v>
      </c>
      <c r="B48" s="17">
        <v>6</v>
      </c>
      <c r="C48" s="17">
        <v>13</v>
      </c>
      <c r="D48" s="17"/>
      <c r="E48" s="17"/>
      <c r="F48" s="17"/>
      <c r="G48" s="17"/>
      <c r="H48" s="17"/>
      <c r="I48" s="17"/>
      <c r="J48" s="17">
        <v>19</v>
      </c>
    </row>
    <row r="49" spans="1:10" x14ac:dyDescent="0.3">
      <c r="A49" s="19" t="s">
        <v>123</v>
      </c>
      <c r="B49" s="17"/>
      <c r="C49" s="17"/>
      <c r="D49" s="17"/>
      <c r="E49" s="17"/>
      <c r="F49" s="17"/>
      <c r="G49" s="17"/>
      <c r="H49" s="17">
        <v>3</v>
      </c>
      <c r="I49" s="17">
        <v>17</v>
      </c>
      <c r="J49" s="17">
        <v>20</v>
      </c>
    </row>
    <row r="50" spans="1:10" x14ac:dyDescent="0.3">
      <c r="A50" s="19" t="s">
        <v>97</v>
      </c>
      <c r="B50" s="17"/>
      <c r="C50" s="17"/>
      <c r="D50" s="17"/>
      <c r="E50" s="17">
        <v>20</v>
      </c>
      <c r="F50" s="17"/>
      <c r="G50" s="17"/>
      <c r="H50" s="17"/>
      <c r="I50" s="17"/>
      <c r="J50" s="17">
        <v>20</v>
      </c>
    </row>
    <row r="51" spans="1:10" x14ac:dyDescent="0.3">
      <c r="A51" s="19" t="s">
        <v>95</v>
      </c>
      <c r="B51" s="17"/>
      <c r="C51" s="17"/>
      <c r="D51" s="17"/>
      <c r="E51" s="17">
        <v>16</v>
      </c>
      <c r="F51" s="17">
        <v>4</v>
      </c>
      <c r="G51" s="17"/>
      <c r="H51" s="17"/>
      <c r="I51" s="17"/>
      <c r="J51" s="17">
        <v>20</v>
      </c>
    </row>
    <row r="52" spans="1:10" x14ac:dyDescent="0.3">
      <c r="A52" s="19" t="s">
        <v>118</v>
      </c>
      <c r="B52" s="17"/>
      <c r="C52" s="17"/>
      <c r="D52" s="17"/>
      <c r="E52" s="17"/>
      <c r="F52" s="17"/>
      <c r="G52" s="17">
        <v>6</v>
      </c>
      <c r="H52" s="17">
        <v>16</v>
      </c>
      <c r="I52" s="17"/>
      <c r="J52" s="17">
        <v>22</v>
      </c>
    </row>
    <row r="53" spans="1:10" x14ac:dyDescent="0.3">
      <c r="A53" s="19" t="s">
        <v>94</v>
      </c>
      <c r="B53" s="17"/>
      <c r="C53" s="17"/>
      <c r="D53" s="17"/>
      <c r="E53" s="17">
        <v>10</v>
      </c>
      <c r="F53" s="17">
        <v>14</v>
      </c>
      <c r="G53" s="17"/>
      <c r="H53" s="17"/>
      <c r="I53" s="17"/>
      <c r="J53" s="17">
        <v>24</v>
      </c>
    </row>
    <row r="54" spans="1:10" x14ac:dyDescent="0.3">
      <c r="A54" s="19" t="s">
        <v>96</v>
      </c>
      <c r="B54" s="17"/>
      <c r="C54" s="17"/>
      <c r="D54" s="17"/>
      <c r="E54" s="17">
        <v>22</v>
      </c>
      <c r="F54" s="17">
        <v>3</v>
      </c>
      <c r="G54" s="17"/>
      <c r="H54" s="17"/>
      <c r="I54" s="17"/>
      <c r="J54" s="17">
        <v>25</v>
      </c>
    </row>
    <row r="55" spans="1:10" x14ac:dyDescent="0.3">
      <c r="A55" s="19" t="s">
        <v>42</v>
      </c>
      <c r="B55" s="17">
        <v>19</v>
      </c>
      <c r="C55" s="17">
        <v>8</v>
      </c>
      <c r="D55" s="17"/>
      <c r="E55" s="17"/>
      <c r="F55" s="17"/>
      <c r="G55" s="17"/>
      <c r="H55" s="17"/>
      <c r="I55" s="17"/>
      <c r="J55" s="17">
        <v>27</v>
      </c>
    </row>
    <row r="56" spans="1:10" x14ac:dyDescent="0.3">
      <c r="A56" s="19" t="s">
        <v>52</v>
      </c>
      <c r="B56" s="17"/>
      <c r="C56" s="17">
        <v>8</v>
      </c>
      <c r="D56" s="17">
        <v>8</v>
      </c>
      <c r="E56" s="17">
        <v>3</v>
      </c>
      <c r="F56" s="17">
        <v>9</v>
      </c>
      <c r="G56" s="17"/>
      <c r="H56" s="17"/>
      <c r="I56" s="17"/>
      <c r="J56" s="17">
        <v>28</v>
      </c>
    </row>
    <row r="57" spans="1:10" x14ac:dyDescent="0.3">
      <c r="A57" s="19" t="s">
        <v>127</v>
      </c>
      <c r="B57" s="17"/>
      <c r="C57" s="17"/>
      <c r="D57" s="17"/>
      <c r="E57" s="17"/>
      <c r="F57" s="17"/>
      <c r="G57" s="17"/>
      <c r="H57" s="17">
        <v>15</v>
      </c>
      <c r="I57" s="17">
        <v>14</v>
      </c>
      <c r="J57" s="17">
        <v>29</v>
      </c>
    </row>
    <row r="58" spans="1:10" x14ac:dyDescent="0.3">
      <c r="A58" s="19" t="s">
        <v>28</v>
      </c>
      <c r="B58" s="17">
        <v>21</v>
      </c>
      <c r="C58" s="17">
        <v>9</v>
      </c>
      <c r="D58" s="17"/>
      <c r="E58" s="17"/>
      <c r="F58" s="17"/>
      <c r="G58" s="17"/>
      <c r="H58" s="17"/>
      <c r="I58" s="17"/>
      <c r="J58" s="17">
        <v>30</v>
      </c>
    </row>
    <row r="59" spans="1:10" x14ac:dyDescent="0.3">
      <c r="A59" s="19" t="s">
        <v>125</v>
      </c>
      <c r="B59" s="17"/>
      <c r="C59" s="17"/>
      <c r="D59" s="17"/>
      <c r="E59" s="17"/>
      <c r="F59" s="17"/>
      <c r="G59" s="17"/>
      <c r="H59" s="17">
        <v>18</v>
      </c>
      <c r="I59" s="17">
        <v>12</v>
      </c>
      <c r="J59" s="17">
        <v>30</v>
      </c>
    </row>
    <row r="60" spans="1:10" x14ac:dyDescent="0.3">
      <c r="A60" s="19" t="s">
        <v>104</v>
      </c>
      <c r="B60" s="17"/>
      <c r="C60" s="17"/>
      <c r="D60" s="17"/>
      <c r="E60" s="17"/>
      <c r="F60" s="17">
        <v>27</v>
      </c>
      <c r="G60" s="17">
        <v>5</v>
      </c>
      <c r="H60" s="17"/>
      <c r="I60" s="17"/>
      <c r="J60" s="17">
        <v>32</v>
      </c>
    </row>
    <row r="61" spans="1:10" x14ac:dyDescent="0.3">
      <c r="A61" s="19" t="s">
        <v>92</v>
      </c>
      <c r="B61" s="17"/>
      <c r="C61" s="17"/>
      <c r="D61" s="17"/>
      <c r="E61" s="17">
        <v>24</v>
      </c>
      <c r="F61" s="17"/>
      <c r="G61" s="17"/>
      <c r="H61" s="17">
        <v>5</v>
      </c>
      <c r="I61" s="17">
        <v>3</v>
      </c>
      <c r="J61" s="17">
        <v>32</v>
      </c>
    </row>
    <row r="62" spans="1:10" x14ac:dyDescent="0.3">
      <c r="A62" s="19" t="s">
        <v>29</v>
      </c>
      <c r="B62" s="17">
        <v>12</v>
      </c>
      <c r="C62" s="17">
        <v>18</v>
      </c>
      <c r="D62" s="17">
        <v>5</v>
      </c>
      <c r="E62" s="17"/>
      <c r="F62" s="17"/>
      <c r="G62" s="17"/>
      <c r="H62" s="17"/>
      <c r="I62" s="17"/>
      <c r="J62" s="17">
        <v>35</v>
      </c>
    </row>
    <row r="63" spans="1:10" x14ac:dyDescent="0.3">
      <c r="A63" s="19" t="s">
        <v>59</v>
      </c>
      <c r="B63" s="17"/>
      <c r="C63" s="17">
        <v>10</v>
      </c>
      <c r="D63" s="17">
        <v>9</v>
      </c>
      <c r="E63" s="17">
        <v>10</v>
      </c>
      <c r="F63" s="17">
        <v>7</v>
      </c>
      <c r="G63" s="17"/>
      <c r="H63" s="17"/>
      <c r="I63" s="17"/>
      <c r="J63" s="17">
        <v>36</v>
      </c>
    </row>
    <row r="64" spans="1:10" x14ac:dyDescent="0.3">
      <c r="A64" s="19" t="s">
        <v>82</v>
      </c>
      <c r="B64" s="17"/>
      <c r="C64" s="17"/>
      <c r="D64" s="17">
        <v>22</v>
      </c>
      <c r="E64" s="17">
        <v>16</v>
      </c>
      <c r="F64" s="17"/>
      <c r="G64" s="17"/>
      <c r="H64" s="17"/>
      <c r="I64" s="17"/>
      <c r="J64" s="17">
        <v>38</v>
      </c>
    </row>
    <row r="65" spans="1:10" x14ac:dyDescent="0.3">
      <c r="A65" s="19" t="s">
        <v>80</v>
      </c>
      <c r="B65" s="17"/>
      <c r="C65" s="17"/>
      <c r="D65" s="17">
        <v>18</v>
      </c>
      <c r="E65" s="17">
        <v>21</v>
      </c>
      <c r="F65" s="17"/>
      <c r="G65" s="17"/>
      <c r="H65" s="17"/>
      <c r="I65" s="17"/>
      <c r="J65" s="17">
        <v>39</v>
      </c>
    </row>
    <row r="66" spans="1:10" x14ac:dyDescent="0.3">
      <c r="A66" s="19" t="s">
        <v>102</v>
      </c>
      <c r="B66" s="17"/>
      <c r="C66" s="17"/>
      <c r="D66" s="17"/>
      <c r="E66" s="17"/>
      <c r="F66" s="17">
        <v>10</v>
      </c>
      <c r="G66" s="17">
        <v>16</v>
      </c>
      <c r="H66" s="17">
        <v>6</v>
      </c>
      <c r="I66" s="17">
        <v>8</v>
      </c>
      <c r="J66" s="17">
        <v>40</v>
      </c>
    </row>
    <row r="67" spans="1:10" x14ac:dyDescent="0.3">
      <c r="A67" s="19" t="s">
        <v>83</v>
      </c>
      <c r="B67" s="17"/>
      <c r="C67" s="17"/>
      <c r="D67" s="17">
        <v>18</v>
      </c>
      <c r="E67" s="17">
        <v>10</v>
      </c>
      <c r="F67" s="17">
        <v>12</v>
      </c>
      <c r="G67" s="17"/>
      <c r="H67" s="17"/>
      <c r="I67" s="17"/>
      <c r="J67" s="17">
        <v>40</v>
      </c>
    </row>
    <row r="68" spans="1:10" x14ac:dyDescent="0.3">
      <c r="A68" s="19" t="s">
        <v>121</v>
      </c>
      <c r="B68" s="17"/>
      <c r="C68" s="17"/>
      <c r="D68" s="17"/>
      <c r="E68" s="17"/>
      <c r="F68" s="17"/>
      <c r="G68" s="17"/>
      <c r="H68" s="17">
        <v>23</v>
      </c>
      <c r="I68" s="17">
        <v>18</v>
      </c>
      <c r="J68" s="17">
        <v>41</v>
      </c>
    </row>
    <row r="69" spans="1:10" x14ac:dyDescent="0.3">
      <c r="A69" s="19" t="s">
        <v>106</v>
      </c>
      <c r="B69" s="17"/>
      <c r="C69" s="17"/>
      <c r="D69" s="17"/>
      <c r="E69" s="17"/>
      <c r="F69" s="17">
        <v>13</v>
      </c>
      <c r="G69" s="17">
        <v>10</v>
      </c>
      <c r="H69" s="17">
        <v>11</v>
      </c>
      <c r="I69" s="17">
        <v>11</v>
      </c>
      <c r="J69" s="17">
        <v>45</v>
      </c>
    </row>
    <row r="70" spans="1:10" x14ac:dyDescent="0.3">
      <c r="A70" s="19" t="s">
        <v>117</v>
      </c>
      <c r="B70" s="17"/>
      <c r="C70" s="17"/>
      <c r="D70" s="17"/>
      <c r="E70" s="17"/>
      <c r="F70" s="17"/>
      <c r="G70" s="17">
        <v>9</v>
      </c>
      <c r="H70" s="17">
        <v>15</v>
      </c>
      <c r="I70" s="17">
        <v>21</v>
      </c>
      <c r="J70" s="17">
        <v>45</v>
      </c>
    </row>
    <row r="71" spans="1:10" x14ac:dyDescent="0.3">
      <c r="A71" s="19" t="s">
        <v>86</v>
      </c>
      <c r="B71" s="17"/>
      <c r="C71" s="17"/>
      <c r="D71" s="17">
        <v>20</v>
      </c>
      <c r="E71" s="17">
        <v>17</v>
      </c>
      <c r="F71" s="17">
        <v>8</v>
      </c>
      <c r="G71" s="17"/>
      <c r="H71" s="17"/>
      <c r="I71" s="17"/>
      <c r="J71" s="17">
        <v>45</v>
      </c>
    </row>
    <row r="72" spans="1:10" x14ac:dyDescent="0.3">
      <c r="A72" s="19" t="s">
        <v>48</v>
      </c>
      <c r="B72" s="17">
        <v>28</v>
      </c>
      <c r="C72" s="17"/>
      <c r="D72" s="17">
        <v>15</v>
      </c>
      <c r="E72" s="17"/>
      <c r="F72" s="17">
        <v>3</v>
      </c>
      <c r="G72" s="17"/>
      <c r="H72" s="17"/>
      <c r="I72" s="17"/>
      <c r="J72" s="17">
        <v>46</v>
      </c>
    </row>
    <row r="73" spans="1:10" x14ac:dyDescent="0.3">
      <c r="A73" s="19" t="s">
        <v>25</v>
      </c>
      <c r="B73" s="17">
        <v>3</v>
      </c>
      <c r="C73" s="17">
        <v>1</v>
      </c>
      <c r="D73" s="17">
        <v>4</v>
      </c>
      <c r="E73" s="17">
        <v>7</v>
      </c>
      <c r="F73" s="17">
        <v>11</v>
      </c>
      <c r="G73" s="17">
        <v>11</v>
      </c>
      <c r="H73" s="17">
        <v>9</v>
      </c>
      <c r="I73" s="17"/>
      <c r="J73" s="17">
        <v>46</v>
      </c>
    </row>
    <row r="74" spans="1:10" x14ac:dyDescent="0.3">
      <c r="A74" s="19" t="s">
        <v>57</v>
      </c>
      <c r="B74" s="17"/>
      <c r="C74" s="17">
        <v>20</v>
      </c>
      <c r="D74" s="17">
        <v>20</v>
      </c>
      <c r="E74" s="17">
        <v>8</v>
      </c>
      <c r="F74" s="17"/>
      <c r="G74" s="17"/>
      <c r="H74" s="17"/>
      <c r="I74" s="17"/>
      <c r="J74" s="17">
        <v>48</v>
      </c>
    </row>
    <row r="75" spans="1:10" x14ac:dyDescent="0.3">
      <c r="A75" s="19" t="s">
        <v>115</v>
      </c>
      <c r="B75" s="17"/>
      <c r="C75" s="17"/>
      <c r="D75" s="17"/>
      <c r="E75" s="17"/>
      <c r="F75" s="17"/>
      <c r="G75" s="17">
        <v>21</v>
      </c>
      <c r="H75" s="17">
        <v>28</v>
      </c>
      <c r="I75" s="17"/>
      <c r="J75" s="17">
        <v>49</v>
      </c>
    </row>
    <row r="76" spans="1:10" x14ac:dyDescent="0.3">
      <c r="A76" s="19" t="s">
        <v>111</v>
      </c>
      <c r="B76" s="17"/>
      <c r="C76" s="17"/>
      <c r="D76" s="17"/>
      <c r="E76" s="17"/>
      <c r="F76" s="17"/>
      <c r="G76" s="17">
        <v>11</v>
      </c>
      <c r="H76" s="17">
        <v>19</v>
      </c>
      <c r="I76" s="17">
        <v>19</v>
      </c>
      <c r="J76" s="17">
        <v>49</v>
      </c>
    </row>
    <row r="77" spans="1:10" x14ac:dyDescent="0.3">
      <c r="A77" s="19" t="s">
        <v>109</v>
      </c>
      <c r="B77" s="17"/>
      <c r="C77" s="17"/>
      <c r="D77" s="17"/>
      <c r="E77" s="17"/>
      <c r="F77" s="17"/>
      <c r="G77" s="17">
        <v>9</v>
      </c>
      <c r="H77" s="17">
        <v>22</v>
      </c>
      <c r="I77" s="17">
        <v>24</v>
      </c>
      <c r="J77" s="17">
        <v>55</v>
      </c>
    </row>
    <row r="78" spans="1:10" x14ac:dyDescent="0.3">
      <c r="A78" s="19" t="s">
        <v>100</v>
      </c>
      <c r="B78" s="17"/>
      <c r="C78" s="17"/>
      <c r="D78" s="17"/>
      <c r="E78" s="17"/>
      <c r="F78" s="17">
        <v>10</v>
      </c>
      <c r="G78" s="17">
        <v>7</v>
      </c>
      <c r="H78" s="17">
        <v>18</v>
      </c>
      <c r="I78" s="17">
        <v>22</v>
      </c>
      <c r="J78" s="17">
        <v>57</v>
      </c>
    </row>
    <row r="79" spans="1:10" x14ac:dyDescent="0.3">
      <c r="A79" s="19" t="s">
        <v>22</v>
      </c>
      <c r="B79" s="17">
        <v>18</v>
      </c>
      <c r="C79" s="17">
        <v>23</v>
      </c>
      <c r="D79" s="17">
        <v>11</v>
      </c>
      <c r="E79" s="17">
        <v>11</v>
      </c>
      <c r="F79" s="17"/>
      <c r="G79" s="17"/>
      <c r="H79" s="17"/>
      <c r="I79" s="17"/>
      <c r="J79" s="17">
        <v>63</v>
      </c>
    </row>
    <row r="80" spans="1:10" x14ac:dyDescent="0.3">
      <c r="A80" s="19" t="s">
        <v>108</v>
      </c>
      <c r="B80" s="17"/>
      <c r="C80" s="17"/>
      <c r="D80" s="17"/>
      <c r="E80" s="17"/>
      <c r="F80" s="17"/>
      <c r="G80" s="17">
        <v>20</v>
      </c>
      <c r="H80" s="17">
        <v>31</v>
      </c>
      <c r="I80" s="17">
        <v>12</v>
      </c>
      <c r="J80" s="17">
        <v>63</v>
      </c>
    </row>
    <row r="81" spans="1:10" x14ac:dyDescent="0.3">
      <c r="A81" s="19" t="s">
        <v>51</v>
      </c>
      <c r="B81" s="17">
        <v>5</v>
      </c>
      <c r="C81" s="17">
        <v>16</v>
      </c>
      <c r="D81" s="17">
        <v>12</v>
      </c>
      <c r="E81" s="17">
        <v>15</v>
      </c>
      <c r="F81" s="17">
        <v>14</v>
      </c>
      <c r="G81" s="17">
        <v>1</v>
      </c>
      <c r="H81" s="17"/>
      <c r="I81" s="17"/>
      <c r="J81" s="17">
        <v>63</v>
      </c>
    </row>
    <row r="82" spans="1:10" x14ac:dyDescent="0.3">
      <c r="A82" s="19" t="s">
        <v>27</v>
      </c>
      <c r="B82" s="17">
        <v>28</v>
      </c>
      <c r="C82" s="17">
        <v>38</v>
      </c>
      <c r="D82" s="17"/>
      <c r="E82" s="17"/>
      <c r="F82" s="17"/>
      <c r="G82" s="17"/>
      <c r="H82" s="17"/>
      <c r="I82" s="17"/>
      <c r="J82" s="17">
        <v>66</v>
      </c>
    </row>
    <row r="83" spans="1:10" x14ac:dyDescent="0.3">
      <c r="A83" s="19" t="s">
        <v>91</v>
      </c>
      <c r="B83" s="17"/>
      <c r="C83" s="17"/>
      <c r="D83" s="17"/>
      <c r="E83" s="17">
        <v>4</v>
      </c>
      <c r="F83" s="17">
        <v>12</v>
      </c>
      <c r="G83" s="17">
        <v>22</v>
      </c>
      <c r="H83" s="17">
        <v>13</v>
      </c>
      <c r="I83" s="17">
        <v>15</v>
      </c>
      <c r="J83" s="17">
        <v>66</v>
      </c>
    </row>
    <row r="84" spans="1:10" x14ac:dyDescent="0.3">
      <c r="A84" s="19" t="s">
        <v>34</v>
      </c>
      <c r="B84" s="17">
        <v>33</v>
      </c>
      <c r="C84" s="17">
        <v>33</v>
      </c>
      <c r="D84" s="17"/>
      <c r="E84" s="17"/>
      <c r="F84" s="17"/>
      <c r="G84" s="17"/>
      <c r="H84" s="17"/>
      <c r="I84" s="17"/>
      <c r="J84" s="17">
        <v>66</v>
      </c>
    </row>
    <row r="85" spans="1:10" x14ac:dyDescent="0.3">
      <c r="A85" s="19" t="s">
        <v>39</v>
      </c>
      <c r="B85" s="17">
        <v>36</v>
      </c>
      <c r="C85" s="17">
        <v>18</v>
      </c>
      <c r="D85" s="17"/>
      <c r="E85" s="17"/>
      <c r="F85" s="17">
        <v>13</v>
      </c>
      <c r="G85" s="17"/>
      <c r="H85" s="17"/>
      <c r="I85" s="17"/>
      <c r="J85" s="17">
        <v>67</v>
      </c>
    </row>
    <row r="86" spans="1:10" x14ac:dyDescent="0.3">
      <c r="A86" s="19" t="s">
        <v>103</v>
      </c>
      <c r="B86" s="17"/>
      <c r="C86" s="17"/>
      <c r="D86" s="17"/>
      <c r="E86" s="17"/>
      <c r="F86" s="17">
        <v>4</v>
      </c>
      <c r="G86" s="17"/>
      <c r="H86" s="17">
        <v>40</v>
      </c>
      <c r="I86" s="17">
        <v>26</v>
      </c>
      <c r="J86" s="17">
        <v>70</v>
      </c>
    </row>
    <row r="87" spans="1:10" x14ac:dyDescent="0.3">
      <c r="A87" s="19" t="s">
        <v>84</v>
      </c>
      <c r="B87" s="17"/>
      <c r="C87" s="17"/>
      <c r="D87" s="17">
        <v>17</v>
      </c>
      <c r="E87" s="17">
        <v>26</v>
      </c>
      <c r="F87" s="17">
        <v>25</v>
      </c>
      <c r="G87" s="17"/>
      <c r="H87" s="17"/>
      <c r="I87" s="17">
        <v>15</v>
      </c>
      <c r="J87" s="17">
        <v>83</v>
      </c>
    </row>
    <row r="88" spans="1:10" x14ac:dyDescent="0.3">
      <c r="A88" s="19" t="s">
        <v>93</v>
      </c>
      <c r="B88" s="17"/>
      <c r="C88" s="17"/>
      <c r="D88" s="17"/>
      <c r="E88" s="17">
        <v>16</v>
      </c>
      <c r="F88" s="17">
        <v>18</v>
      </c>
      <c r="G88" s="17">
        <v>10</v>
      </c>
      <c r="H88" s="17">
        <v>21</v>
      </c>
      <c r="I88" s="17">
        <v>19</v>
      </c>
      <c r="J88" s="17">
        <v>84</v>
      </c>
    </row>
    <row r="89" spans="1:10" x14ac:dyDescent="0.3">
      <c r="A89" s="19" t="s">
        <v>89</v>
      </c>
      <c r="B89" s="17"/>
      <c r="C89" s="17"/>
      <c r="D89" s="17"/>
      <c r="E89" s="17">
        <v>14</v>
      </c>
      <c r="F89" s="17">
        <v>27</v>
      </c>
      <c r="G89" s="17">
        <v>15</v>
      </c>
      <c r="H89" s="17">
        <v>19</v>
      </c>
      <c r="I89" s="17">
        <v>12</v>
      </c>
      <c r="J89" s="17">
        <v>87</v>
      </c>
    </row>
    <row r="90" spans="1:10" x14ac:dyDescent="0.3">
      <c r="A90" s="19" t="s">
        <v>43</v>
      </c>
      <c r="B90" s="17">
        <v>20</v>
      </c>
      <c r="C90" s="17">
        <v>14</v>
      </c>
      <c r="D90" s="17">
        <v>32</v>
      </c>
      <c r="E90" s="17">
        <v>12</v>
      </c>
      <c r="F90" s="17"/>
      <c r="G90" s="17">
        <v>12</v>
      </c>
      <c r="H90" s="17">
        <v>3</v>
      </c>
      <c r="I90" s="17"/>
      <c r="J90" s="17">
        <v>93</v>
      </c>
    </row>
    <row r="91" spans="1:10" x14ac:dyDescent="0.3">
      <c r="A91" s="19" t="s">
        <v>21</v>
      </c>
      <c r="B91" s="17">
        <v>21</v>
      </c>
      <c r="C91" s="17">
        <v>30</v>
      </c>
      <c r="D91" s="17">
        <v>16</v>
      </c>
      <c r="E91" s="17">
        <v>20</v>
      </c>
      <c r="F91" s="17">
        <v>14</v>
      </c>
      <c r="G91" s="17"/>
      <c r="H91" s="17"/>
      <c r="I91" s="17"/>
      <c r="J91" s="17">
        <v>101</v>
      </c>
    </row>
    <row r="92" spans="1:10" x14ac:dyDescent="0.3">
      <c r="A92" s="19" t="s">
        <v>101</v>
      </c>
      <c r="B92" s="17"/>
      <c r="C92" s="17"/>
      <c r="D92" s="17"/>
      <c r="E92" s="17"/>
      <c r="F92" s="17">
        <v>19</v>
      </c>
      <c r="G92" s="17">
        <v>26</v>
      </c>
      <c r="H92" s="17">
        <v>34</v>
      </c>
      <c r="I92" s="17">
        <v>25</v>
      </c>
      <c r="J92" s="17">
        <v>104</v>
      </c>
    </row>
    <row r="93" spans="1:10" x14ac:dyDescent="0.3">
      <c r="A93" s="19" t="s">
        <v>35</v>
      </c>
      <c r="B93" s="17">
        <v>37</v>
      </c>
      <c r="C93" s="17">
        <v>42</v>
      </c>
      <c r="D93" s="17">
        <v>26</v>
      </c>
      <c r="E93" s="17">
        <v>7</v>
      </c>
      <c r="F93" s="17"/>
      <c r="G93" s="17"/>
      <c r="H93" s="17"/>
      <c r="I93" s="17"/>
      <c r="J93" s="17">
        <v>112</v>
      </c>
    </row>
    <row r="94" spans="1:10" x14ac:dyDescent="0.3">
      <c r="A94" s="19" t="s">
        <v>23</v>
      </c>
      <c r="B94" s="17">
        <v>14</v>
      </c>
      <c r="C94" s="17">
        <v>38</v>
      </c>
      <c r="D94" s="17">
        <v>32</v>
      </c>
      <c r="E94" s="17">
        <v>19</v>
      </c>
      <c r="F94" s="17">
        <v>9</v>
      </c>
      <c r="G94" s="17">
        <v>4</v>
      </c>
      <c r="H94" s="17"/>
      <c r="I94" s="17"/>
      <c r="J94" s="17">
        <v>116</v>
      </c>
    </row>
    <row r="95" spans="1:10" x14ac:dyDescent="0.3">
      <c r="A95" s="19" t="s">
        <v>37</v>
      </c>
      <c r="B95" s="17">
        <v>19</v>
      </c>
      <c r="C95" s="17">
        <v>26</v>
      </c>
      <c r="D95" s="17">
        <v>18</v>
      </c>
      <c r="E95" s="17">
        <v>14</v>
      </c>
      <c r="F95" s="17">
        <v>20</v>
      </c>
      <c r="G95" s="17">
        <v>13</v>
      </c>
      <c r="H95" s="17">
        <v>21</v>
      </c>
      <c r="I95" s="17"/>
      <c r="J95" s="17">
        <v>131</v>
      </c>
    </row>
    <row r="96" spans="1:10" x14ac:dyDescent="0.3">
      <c r="A96" s="19" t="s">
        <v>60</v>
      </c>
      <c r="B96" s="17"/>
      <c r="C96" s="17">
        <v>24</v>
      </c>
      <c r="D96" s="17">
        <v>26</v>
      </c>
      <c r="E96" s="17">
        <v>23</v>
      </c>
      <c r="F96" s="17">
        <v>33</v>
      </c>
      <c r="G96" s="17">
        <v>28</v>
      </c>
      <c r="H96" s="17"/>
      <c r="I96" s="17"/>
      <c r="J96" s="17">
        <v>134</v>
      </c>
    </row>
    <row r="97" spans="1:10" x14ac:dyDescent="0.3">
      <c r="A97" s="19" t="s">
        <v>16</v>
      </c>
      <c r="B97" s="17">
        <v>29</v>
      </c>
      <c r="C97" s="17">
        <v>28</v>
      </c>
      <c r="D97" s="17">
        <v>31</v>
      </c>
      <c r="E97" s="17">
        <v>24</v>
      </c>
      <c r="F97" s="17">
        <v>26</v>
      </c>
      <c r="G97" s="17"/>
      <c r="H97" s="17"/>
      <c r="I97" s="17"/>
      <c r="J97" s="17">
        <v>138</v>
      </c>
    </row>
    <row r="98" spans="1:10" x14ac:dyDescent="0.3">
      <c r="A98" s="19" t="s">
        <v>14</v>
      </c>
      <c r="B98" s="17">
        <v>42</v>
      </c>
      <c r="C98" s="17">
        <v>23</v>
      </c>
      <c r="D98" s="17">
        <v>22</v>
      </c>
      <c r="E98" s="17">
        <v>18</v>
      </c>
      <c r="F98" s="17">
        <v>16</v>
      </c>
      <c r="G98" s="17">
        <v>18</v>
      </c>
      <c r="H98" s="17"/>
      <c r="I98" s="17"/>
      <c r="J98" s="17">
        <v>139</v>
      </c>
    </row>
    <row r="99" spans="1:10" x14ac:dyDescent="0.3">
      <c r="A99" s="19" t="s">
        <v>114</v>
      </c>
      <c r="B99" s="17"/>
      <c r="C99" s="17"/>
      <c r="D99" s="17"/>
      <c r="E99" s="17"/>
      <c r="F99" s="17"/>
      <c r="G99" s="17">
        <v>61</v>
      </c>
      <c r="H99" s="17">
        <v>44</v>
      </c>
      <c r="I99" s="17">
        <v>35</v>
      </c>
      <c r="J99" s="17">
        <v>140</v>
      </c>
    </row>
    <row r="100" spans="1:10" x14ac:dyDescent="0.3">
      <c r="A100" s="19" t="s">
        <v>40</v>
      </c>
      <c r="B100" s="17">
        <v>21</v>
      </c>
      <c r="C100" s="17">
        <v>21</v>
      </c>
      <c r="D100" s="17">
        <v>31</v>
      </c>
      <c r="E100" s="17">
        <v>34</v>
      </c>
      <c r="F100" s="17">
        <v>7</v>
      </c>
      <c r="G100" s="17">
        <v>39</v>
      </c>
      <c r="H100" s="17">
        <v>13</v>
      </c>
      <c r="I100" s="17"/>
      <c r="J100" s="17">
        <v>166</v>
      </c>
    </row>
    <row r="101" spans="1:10" x14ac:dyDescent="0.3">
      <c r="A101" s="19" t="s">
        <v>36</v>
      </c>
      <c r="B101" s="17">
        <v>20</v>
      </c>
      <c r="C101" s="17">
        <v>28</v>
      </c>
      <c r="D101" s="17">
        <v>34</v>
      </c>
      <c r="E101" s="17">
        <v>18</v>
      </c>
      <c r="F101" s="17">
        <v>24</v>
      </c>
      <c r="G101" s="17">
        <v>18</v>
      </c>
      <c r="H101" s="17">
        <v>16</v>
      </c>
      <c r="I101" s="17">
        <v>9</v>
      </c>
      <c r="J101" s="17">
        <v>167</v>
      </c>
    </row>
    <row r="102" spans="1:10" x14ac:dyDescent="0.3">
      <c r="A102" s="19" t="s">
        <v>33</v>
      </c>
      <c r="B102" s="17">
        <v>37</v>
      </c>
      <c r="C102" s="17">
        <v>39</v>
      </c>
      <c r="D102" s="17">
        <v>36</v>
      </c>
      <c r="E102" s="17">
        <v>24</v>
      </c>
      <c r="F102" s="17">
        <v>25</v>
      </c>
      <c r="G102" s="17">
        <v>13</v>
      </c>
      <c r="H102" s="17">
        <v>18</v>
      </c>
      <c r="I102" s="17">
        <v>6</v>
      </c>
      <c r="J102" s="17">
        <v>198</v>
      </c>
    </row>
    <row r="103" spans="1:10" x14ac:dyDescent="0.3">
      <c r="A103" s="19" t="s">
        <v>47</v>
      </c>
      <c r="B103" s="17">
        <v>45</v>
      </c>
      <c r="C103" s="17">
        <v>30</v>
      </c>
      <c r="D103" s="17">
        <v>26</v>
      </c>
      <c r="E103" s="17">
        <v>44</v>
      </c>
      <c r="F103" s="17">
        <v>35</v>
      </c>
      <c r="G103" s="17">
        <v>37</v>
      </c>
      <c r="H103" s="17"/>
      <c r="I103" s="17"/>
      <c r="J103" s="20">
        <v>217</v>
      </c>
    </row>
    <row r="104" spans="1:10" x14ac:dyDescent="0.3">
      <c r="A104" s="19" t="s">
        <v>49</v>
      </c>
      <c r="B104" s="17">
        <v>29</v>
      </c>
      <c r="C104" s="17">
        <v>29</v>
      </c>
      <c r="D104" s="17">
        <v>30</v>
      </c>
      <c r="E104" s="17">
        <v>35</v>
      </c>
      <c r="F104" s="17">
        <v>32</v>
      </c>
      <c r="G104" s="17">
        <v>20</v>
      </c>
      <c r="H104" s="17">
        <v>27</v>
      </c>
      <c r="I104" s="17">
        <v>16</v>
      </c>
      <c r="J104" s="20">
        <v>218</v>
      </c>
    </row>
    <row r="105" spans="1:10" x14ac:dyDescent="0.3">
      <c r="A105" s="19" t="s">
        <v>15</v>
      </c>
      <c r="B105" s="17">
        <v>57</v>
      </c>
      <c r="C105" s="17">
        <v>37</v>
      </c>
      <c r="D105" s="17">
        <v>35</v>
      </c>
      <c r="E105" s="17">
        <v>37</v>
      </c>
      <c r="F105" s="17">
        <v>46</v>
      </c>
      <c r="G105" s="17">
        <v>46</v>
      </c>
      <c r="H105" s="17">
        <v>39</v>
      </c>
      <c r="I105" s="17">
        <v>57</v>
      </c>
      <c r="J105" s="20">
        <v>354</v>
      </c>
    </row>
    <row r="106" spans="1:10" x14ac:dyDescent="0.3">
      <c r="A106" s="16" t="s">
        <v>141</v>
      </c>
      <c r="B106" s="15">
        <v>648</v>
      </c>
      <c r="C106" s="15">
        <v>676</v>
      </c>
      <c r="D106" s="15">
        <v>612</v>
      </c>
      <c r="E106" s="15">
        <v>621</v>
      </c>
      <c r="F106" s="15">
        <v>571</v>
      </c>
      <c r="G106" s="15">
        <v>530</v>
      </c>
      <c r="H106" s="15">
        <v>559</v>
      </c>
      <c r="I106" s="15">
        <v>534</v>
      </c>
      <c r="J106" s="15">
        <v>4751</v>
      </c>
    </row>
  </sheetData>
  <mergeCells count="1">
    <mergeCell ref="L4:P9"/>
  </mergeCells>
  <conditionalFormatting pivot="1" sqref="B5:B105">
    <cfRule type="top10" dxfId="87" priority="9" percent="1" rank="10"/>
  </conditionalFormatting>
  <conditionalFormatting pivot="1" sqref="C5:C105">
    <cfRule type="top10" dxfId="86" priority="8" percent="1" rank="10"/>
  </conditionalFormatting>
  <conditionalFormatting pivot="1" sqref="D5:D105">
    <cfRule type="top10" dxfId="85" priority="7" percent="1" rank="10"/>
  </conditionalFormatting>
  <conditionalFormatting pivot="1" sqref="E5:E105">
    <cfRule type="top10" dxfId="84" priority="6" percent="1" rank="10"/>
  </conditionalFormatting>
  <conditionalFormatting pivot="1" sqref="F5:F105">
    <cfRule type="top10" dxfId="83" priority="5" percent="1" rank="10"/>
  </conditionalFormatting>
  <conditionalFormatting pivot="1" sqref="G5:G105">
    <cfRule type="top10" dxfId="82" priority="4" percent="1" rank="10"/>
  </conditionalFormatting>
  <conditionalFormatting pivot="1" sqref="H5:H105">
    <cfRule type="top10" dxfId="81" priority="3" percent="1" rank="10"/>
  </conditionalFormatting>
  <conditionalFormatting pivot="1" sqref="I5:I105">
    <cfRule type="top10" dxfId="80" priority="2" percent="1" rank="10"/>
  </conditionalFormatting>
  <conditionalFormatting pivot="1" sqref="J5:J105">
    <cfRule type="top10" dxfId="79" priority="1" percent="1" rank="1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ED14E-730F-4CB6-85F6-731EEC0D3D46}">
  <dimension ref="A3:J106"/>
  <sheetViews>
    <sheetView topLeftCell="A19" workbookViewId="0">
      <selection activeCell="O88" sqref="O88"/>
    </sheetView>
  </sheetViews>
  <sheetFormatPr defaultRowHeight="14.4" x14ac:dyDescent="0.3"/>
  <cols>
    <col min="1" max="1" width="25.6640625" style="15" bestFit="1" customWidth="1"/>
    <col min="2" max="2" width="16.88671875" style="15" bestFit="1" customWidth="1"/>
    <col min="3" max="9" width="8.33203125" style="15" bestFit="1" customWidth="1"/>
    <col min="10" max="10" width="11.5546875" style="15" bestFit="1" customWidth="1"/>
    <col min="11" max="16384" width="8.88671875" style="15"/>
  </cols>
  <sheetData>
    <row r="3" spans="1:10" x14ac:dyDescent="0.3">
      <c r="A3" s="14" t="s">
        <v>145</v>
      </c>
      <c r="B3" s="14" t="s">
        <v>142</v>
      </c>
    </row>
    <row r="4" spans="1:10" x14ac:dyDescent="0.3">
      <c r="A4" s="14" t="s">
        <v>140</v>
      </c>
      <c r="B4" s="15" t="s">
        <v>12</v>
      </c>
      <c r="C4" s="15" t="s">
        <v>53</v>
      </c>
      <c r="D4" s="15" t="s">
        <v>76</v>
      </c>
      <c r="E4" s="15" t="s">
        <v>88</v>
      </c>
      <c r="F4" s="15" t="s">
        <v>99</v>
      </c>
      <c r="G4" s="15" t="s">
        <v>107</v>
      </c>
      <c r="H4" s="15" t="s">
        <v>119</v>
      </c>
      <c r="I4" s="15" t="s">
        <v>128</v>
      </c>
      <c r="J4" s="15" t="s">
        <v>141</v>
      </c>
    </row>
    <row r="5" spans="1:10" x14ac:dyDescent="0.3">
      <c r="A5" s="16" t="s">
        <v>79</v>
      </c>
      <c r="B5" s="18"/>
      <c r="C5" s="18"/>
      <c r="D5" s="18">
        <v>1.1111111111111112E-2</v>
      </c>
      <c r="E5" s="18"/>
      <c r="F5" s="18"/>
      <c r="G5" s="18"/>
      <c r="H5" s="18"/>
      <c r="I5" s="18"/>
      <c r="J5" s="18">
        <v>1.1111111111111112E-2</v>
      </c>
    </row>
    <row r="6" spans="1:10" x14ac:dyDescent="0.3">
      <c r="A6" s="16" t="s">
        <v>45</v>
      </c>
      <c r="B6" s="18">
        <v>1.1111111111111112E-2</v>
      </c>
      <c r="C6" s="18"/>
      <c r="D6" s="18"/>
      <c r="E6" s="18"/>
      <c r="F6" s="18"/>
      <c r="G6" s="18"/>
      <c r="H6" s="18"/>
      <c r="I6" s="18"/>
      <c r="J6" s="18">
        <v>1.1111111111111112E-2</v>
      </c>
    </row>
    <row r="7" spans="1:10" x14ac:dyDescent="0.3">
      <c r="A7" s="16" t="s">
        <v>120</v>
      </c>
      <c r="B7" s="18"/>
      <c r="C7" s="18"/>
      <c r="D7" s="18"/>
      <c r="E7" s="18"/>
      <c r="F7" s="18"/>
      <c r="G7" s="18"/>
      <c r="H7" s="18">
        <v>2.2222222222222223E-2</v>
      </c>
      <c r="I7" s="18">
        <v>1.1111111111111112E-2</v>
      </c>
      <c r="J7" s="18">
        <v>1.6666666666666666E-2</v>
      </c>
    </row>
    <row r="8" spans="1:10" x14ac:dyDescent="0.3">
      <c r="A8" s="16" t="s">
        <v>61</v>
      </c>
      <c r="B8" s="18"/>
      <c r="C8" s="18">
        <v>2.2222222222222223E-2</v>
      </c>
      <c r="D8" s="18"/>
      <c r="E8" s="18"/>
      <c r="F8" s="18"/>
      <c r="G8" s="18"/>
      <c r="H8" s="18"/>
      <c r="I8" s="18"/>
      <c r="J8" s="18">
        <v>2.2222222222222223E-2</v>
      </c>
    </row>
    <row r="9" spans="1:10" x14ac:dyDescent="0.3">
      <c r="A9" s="16" t="s">
        <v>62</v>
      </c>
      <c r="B9" s="18"/>
      <c r="C9" s="18">
        <v>2.2222222222222223E-2</v>
      </c>
      <c r="D9" s="18"/>
      <c r="E9" s="18"/>
      <c r="F9" s="18"/>
      <c r="G9" s="18"/>
      <c r="H9" s="18"/>
      <c r="I9" s="18"/>
      <c r="J9" s="18">
        <v>2.2222222222222223E-2</v>
      </c>
    </row>
    <row r="10" spans="1:10" x14ac:dyDescent="0.3">
      <c r="A10" s="16" t="s">
        <v>122</v>
      </c>
      <c r="B10" s="18"/>
      <c r="C10" s="18"/>
      <c r="D10" s="18"/>
      <c r="E10" s="18"/>
      <c r="F10" s="18"/>
      <c r="G10" s="18"/>
      <c r="H10" s="18">
        <v>2.2222222222222223E-2</v>
      </c>
      <c r="I10" s="18"/>
      <c r="J10" s="18">
        <v>2.2222222222222223E-2</v>
      </c>
    </row>
    <row r="11" spans="1:10" x14ac:dyDescent="0.3">
      <c r="A11" s="16" t="s">
        <v>19</v>
      </c>
      <c r="B11" s="18">
        <v>2.2222222222222223E-2</v>
      </c>
      <c r="C11" s="18"/>
      <c r="D11" s="18"/>
      <c r="E11" s="18"/>
      <c r="F11" s="18"/>
      <c r="G11" s="18"/>
      <c r="H11" s="18"/>
      <c r="I11" s="18"/>
      <c r="J11" s="18">
        <v>2.2222222222222223E-2</v>
      </c>
    </row>
    <row r="12" spans="1:10" x14ac:dyDescent="0.3">
      <c r="A12" s="16" t="s">
        <v>31</v>
      </c>
      <c r="B12" s="18">
        <v>2.2222222222222223E-2</v>
      </c>
      <c r="C12" s="18"/>
      <c r="D12" s="18"/>
      <c r="E12" s="18"/>
      <c r="F12" s="18"/>
      <c r="G12" s="18"/>
      <c r="H12" s="18"/>
      <c r="I12" s="18"/>
      <c r="J12" s="18">
        <v>2.2222222222222223E-2</v>
      </c>
    </row>
    <row r="13" spans="1:10" x14ac:dyDescent="0.3">
      <c r="A13" s="16" t="s">
        <v>129</v>
      </c>
      <c r="B13" s="18"/>
      <c r="C13" s="18"/>
      <c r="D13" s="18"/>
      <c r="E13" s="18"/>
      <c r="F13" s="18"/>
      <c r="G13" s="18"/>
      <c r="H13" s="18"/>
      <c r="I13" s="18">
        <v>3.3333333333333333E-2</v>
      </c>
      <c r="J13" s="18">
        <v>3.3333333333333333E-2</v>
      </c>
    </row>
    <row r="14" spans="1:10" x14ac:dyDescent="0.3">
      <c r="A14" s="16" t="s">
        <v>77</v>
      </c>
      <c r="B14" s="18"/>
      <c r="C14" s="18"/>
      <c r="D14" s="18">
        <v>3.3333333333333333E-2</v>
      </c>
      <c r="E14" s="18"/>
      <c r="F14" s="18"/>
      <c r="G14" s="18"/>
      <c r="H14" s="18"/>
      <c r="I14" s="18"/>
      <c r="J14" s="18">
        <v>3.3333333333333333E-2</v>
      </c>
    </row>
    <row r="15" spans="1:10" x14ac:dyDescent="0.3">
      <c r="A15" s="16" t="s">
        <v>110</v>
      </c>
      <c r="B15" s="18"/>
      <c r="C15" s="18"/>
      <c r="D15" s="18"/>
      <c r="E15" s="18"/>
      <c r="F15" s="18"/>
      <c r="G15" s="18">
        <v>3.3333333333333333E-2</v>
      </c>
      <c r="H15" s="18"/>
      <c r="I15" s="18"/>
      <c r="J15" s="18">
        <v>3.3333333333333333E-2</v>
      </c>
    </row>
    <row r="16" spans="1:10" x14ac:dyDescent="0.3">
      <c r="A16" s="16" t="s">
        <v>124</v>
      </c>
      <c r="B16" s="18"/>
      <c r="C16" s="18"/>
      <c r="D16" s="18"/>
      <c r="E16" s="18"/>
      <c r="F16" s="18"/>
      <c r="G16" s="18"/>
      <c r="H16" s="18">
        <v>3.3333333333333333E-2</v>
      </c>
      <c r="I16" s="18"/>
      <c r="J16" s="18">
        <v>3.3333333333333333E-2</v>
      </c>
    </row>
    <row r="17" spans="1:10" x14ac:dyDescent="0.3">
      <c r="A17" s="16" t="s">
        <v>138</v>
      </c>
      <c r="B17" s="18"/>
      <c r="C17" s="18"/>
      <c r="D17" s="18"/>
      <c r="E17" s="18"/>
      <c r="F17" s="18"/>
      <c r="G17" s="18"/>
      <c r="H17" s="18"/>
      <c r="I17" s="18">
        <v>3.3333333333333333E-2</v>
      </c>
      <c r="J17" s="18">
        <v>3.3333333333333333E-2</v>
      </c>
    </row>
    <row r="18" spans="1:10" x14ac:dyDescent="0.3">
      <c r="A18" s="16" t="s">
        <v>113</v>
      </c>
      <c r="B18" s="18"/>
      <c r="C18" s="18"/>
      <c r="D18" s="18"/>
      <c r="E18" s="18"/>
      <c r="F18" s="18"/>
      <c r="G18" s="18">
        <v>4.4444444444444446E-2</v>
      </c>
      <c r="H18" s="18"/>
      <c r="I18" s="18"/>
      <c r="J18" s="18">
        <v>4.4444444444444446E-2</v>
      </c>
    </row>
    <row r="19" spans="1:10" x14ac:dyDescent="0.3">
      <c r="A19" s="16" t="s">
        <v>78</v>
      </c>
      <c r="B19" s="18"/>
      <c r="C19" s="18"/>
      <c r="D19" s="18">
        <v>4.4444444444444446E-2</v>
      </c>
      <c r="E19" s="18"/>
      <c r="F19" s="18"/>
      <c r="G19" s="18"/>
      <c r="H19" s="18"/>
      <c r="I19" s="18"/>
      <c r="J19" s="18">
        <v>4.4444444444444446E-2</v>
      </c>
    </row>
    <row r="20" spans="1:10" x14ac:dyDescent="0.3">
      <c r="A20" s="16" t="s">
        <v>112</v>
      </c>
      <c r="B20" s="18"/>
      <c r="C20" s="18"/>
      <c r="D20" s="18"/>
      <c r="E20" s="18"/>
      <c r="F20" s="18"/>
      <c r="G20" s="18">
        <v>4.4444444444444446E-2</v>
      </c>
      <c r="H20" s="18"/>
      <c r="I20" s="18"/>
      <c r="J20" s="18">
        <v>4.4444444444444446E-2</v>
      </c>
    </row>
    <row r="21" spans="1:10" x14ac:dyDescent="0.3">
      <c r="A21" s="16" t="s">
        <v>98</v>
      </c>
      <c r="B21" s="18"/>
      <c r="C21" s="18"/>
      <c r="D21" s="18"/>
      <c r="E21" s="18">
        <v>4.4444444444444446E-2</v>
      </c>
      <c r="F21" s="18">
        <v>5.5555555555555552E-2</v>
      </c>
      <c r="G21" s="18"/>
      <c r="H21" s="18"/>
      <c r="I21" s="18"/>
      <c r="J21" s="18">
        <v>0.05</v>
      </c>
    </row>
    <row r="22" spans="1:10" x14ac:dyDescent="0.3">
      <c r="A22" s="16" t="s">
        <v>116</v>
      </c>
      <c r="B22" s="18"/>
      <c r="C22" s="18"/>
      <c r="D22" s="18"/>
      <c r="E22" s="18"/>
      <c r="F22" s="18"/>
      <c r="G22" s="18">
        <v>5.5555555555555552E-2</v>
      </c>
      <c r="H22" s="18"/>
      <c r="I22" s="18"/>
      <c r="J22" s="18">
        <v>5.5555555555555552E-2</v>
      </c>
    </row>
    <row r="23" spans="1:10" x14ac:dyDescent="0.3">
      <c r="A23" s="16" t="s">
        <v>105</v>
      </c>
      <c r="B23" s="18"/>
      <c r="C23" s="18"/>
      <c r="D23" s="18"/>
      <c r="E23" s="18"/>
      <c r="F23" s="18">
        <v>5.5555555555555552E-2</v>
      </c>
      <c r="G23" s="18"/>
      <c r="H23" s="18"/>
      <c r="I23" s="18"/>
      <c r="J23" s="18">
        <v>5.5555555555555552E-2</v>
      </c>
    </row>
    <row r="24" spans="1:10" x14ac:dyDescent="0.3">
      <c r="A24" s="16" t="s">
        <v>126</v>
      </c>
      <c r="B24" s="18"/>
      <c r="C24" s="18"/>
      <c r="D24" s="18"/>
      <c r="E24" s="18"/>
      <c r="F24" s="18"/>
      <c r="G24" s="18"/>
      <c r="H24" s="18">
        <v>5.5555555555555552E-2</v>
      </c>
      <c r="I24" s="18"/>
      <c r="J24" s="18">
        <v>5.5555555555555552E-2</v>
      </c>
    </row>
    <row r="25" spans="1:10" x14ac:dyDescent="0.3">
      <c r="A25" s="16" t="s">
        <v>58</v>
      </c>
      <c r="B25" s="18"/>
      <c r="C25" s="18">
        <v>5.5555555555555552E-2</v>
      </c>
      <c r="D25" s="18"/>
      <c r="E25" s="18"/>
      <c r="F25" s="18"/>
      <c r="G25" s="18"/>
      <c r="H25" s="18"/>
      <c r="I25" s="18"/>
      <c r="J25" s="18">
        <v>5.5555555555555552E-2</v>
      </c>
    </row>
    <row r="26" spans="1:10" x14ac:dyDescent="0.3">
      <c r="A26" s="16" t="s">
        <v>134</v>
      </c>
      <c r="B26" s="18"/>
      <c r="C26" s="18"/>
      <c r="D26" s="18"/>
      <c r="E26" s="18"/>
      <c r="F26" s="18"/>
      <c r="G26" s="18"/>
      <c r="H26" s="18"/>
      <c r="I26" s="18">
        <v>6.6666666666666666E-2</v>
      </c>
      <c r="J26" s="18">
        <v>6.6666666666666666E-2</v>
      </c>
    </row>
    <row r="27" spans="1:10" x14ac:dyDescent="0.3">
      <c r="A27" s="16" t="s">
        <v>87</v>
      </c>
      <c r="B27" s="18"/>
      <c r="C27" s="18"/>
      <c r="D27" s="18">
        <v>6.6666666666666666E-2</v>
      </c>
      <c r="E27" s="18"/>
      <c r="F27" s="18"/>
      <c r="G27" s="18"/>
      <c r="H27" s="18"/>
      <c r="I27" s="18"/>
      <c r="J27" s="18">
        <v>6.6666666666666666E-2</v>
      </c>
    </row>
    <row r="28" spans="1:10" x14ac:dyDescent="0.3">
      <c r="A28" s="16" t="s">
        <v>24</v>
      </c>
      <c r="B28" s="18">
        <v>6.6666666666666666E-2</v>
      </c>
      <c r="C28" s="18"/>
      <c r="D28" s="18"/>
      <c r="E28" s="18"/>
      <c r="F28" s="18"/>
      <c r="G28" s="18"/>
      <c r="H28" s="18"/>
      <c r="I28" s="18"/>
      <c r="J28" s="18">
        <v>6.6666666666666666E-2</v>
      </c>
    </row>
    <row r="29" spans="1:10" x14ac:dyDescent="0.3">
      <c r="A29" s="16" t="s">
        <v>18</v>
      </c>
      <c r="B29" s="18">
        <v>6.6666666666666666E-2</v>
      </c>
      <c r="C29" s="18">
        <v>6.6666666666666666E-2</v>
      </c>
      <c r="D29" s="18"/>
      <c r="E29" s="18"/>
      <c r="F29" s="18"/>
      <c r="G29" s="18"/>
      <c r="H29" s="18"/>
      <c r="I29" s="18"/>
      <c r="J29" s="18">
        <v>6.6666666666666666E-2</v>
      </c>
    </row>
    <row r="30" spans="1:10" x14ac:dyDescent="0.3">
      <c r="A30" s="16" t="s">
        <v>81</v>
      </c>
      <c r="B30" s="18"/>
      <c r="C30" s="18"/>
      <c r="D30" s="18">
        <v>6.6666666666666666E-2</v>
      </c>
      <c r="E30" s="18"/>
      <c r="F30" s="18"/>
      <c r="G30" s="18">
        <v>6.6666666666666666E-2</v>
      </c>
      <c r="H30" s="18"/>
      <c r="I30" s="18"/>
      <c r="J30" s="18">
        <v>6.6666666666666666E-2</v>
      </c>
    </row>
    <row r="31" spans="1:10" x14ac:dyDescent="0.3">
      <c r="A31" s="16" t="s">
        <v>25</v>
      </c>
      <c r="B31" s="18">
        <v>3.3333333333333333E-2</v>
      </c>
      <c r="C31" s="18">
        <v>1.1111111111111112E-2</v>
      </c>
      <c r="D31" s="18">
        <v>4.4444444444444446E-2</v>
      </c>
      <c r="E31" s="18">
        <v>7.7777777777777779E-2</v>
      </c>
      <c r="F31" s="18">
        <v>0.12222222222222222</v>
      </c>
      <c r="G31" s="18">
        <v>0.12222222222222222</v>
      </c>
      <c r="H31" s="18">
        <v>0.1</v>
      </c>
      <c r="I31" s="18"/>
      <c r="J31" s="18">
        <v>7.301587301587302E-2</v>
      </c>
    </row>
    <row r="32" spans="1:10" x14ac:dyDescent="0.3">
      <c r="A32" s="16" t="s">
        <v>52</v>
      </c>
      <c r="B32" s="18"/>
      <c r="C32" s="18">
        <v>8.8888888888888892E-2</v>
      </c>
      <c r="D32" s="18">
        <v>8.8888888888888892E-2</v>
      </c>
      <c r="E32" s="18">
        <v>3.3333333333333333E-2</v>
      </c>
      <c r="F32" s="18">
        <v>0.1</v>
      </c>
      <c r="G32" s="18"/>
      <c r="H32" s="18"/>
      <c r="I32" s="18"/>
      <c r="J32" s="18">
        <v>7.7777777777777779E-2</v>
      </c>
    </row>
    <row r="33" spans="1:10" x14ac:dyDescent="0.3">
      <c r="A33" s="16" t="s">
        <v>133</v>
      </c>
      <c r="B33" s="18"/>
      <c r="C33" s="18"/>
      <c r="D33" s="18"/>
      <c r="E33" s="18"/>
      <c r="F33" s="18"/>
      <c r="G33" s="18"/>
      <c r="H33" s="18"/>
      <c r="I33" s="18">
        <v>7.7777777777777779E-2</v>
      </c>
      <c r="J33" s="18">
        <v>7.7777777777777779E-2</v>
      </c>
    </row>
    <row r="34" spans="1:10" x14ac:dyDescent="0.3">
      <c r="A34" s="16" t="s">
        <v>17</v>
      </c>
      <c r="B34" s="18">
        <v>2.2222222222222223E-2</v>
      </c>
      <c r="C34" s="18"/>
      <c r="D34" s="18"/>
      <c r="E34" s="18"/>
      <c r="F34" s="18"/>
      <c r="G34" s="18"/>
      <c r="H34" s="18"/>
      <c r="I34" s="18">
        <v>0.13333333333333333</v>
      </c>
      <c r="J34" s="18">
        <v>7.7777777777777779E-2</v>
      </c>
    </row>
    <row r="35" spans="1:10" x14ac:dyDescent="0.3">
      <c r="A35" s="16" t="s">
        <v>54</v>
      </c>
      <c r="B35" s="18"/>
      <c r="C35" s="18">
        <v>0.1111111111111111</v>
      </c>
      <c r="D35" s="18"/>
      <c r="E35" s="18">
        <v>5.5555555555555552E-2</v>
      </c>
      <c r="F35" s="18"/>
      <c r="G35" s="18"/>
      <c r="H35" s="18"/>
      <c r="I35" s="18"/>
      <c r="J35" s="18">
        <v>8.3333333333333329E-2</v>
      </c>
    </row>
    <row r="36" spans="1:10" x14ac:dyDescent="0.3">
      <c r="A36" s="16" t="s">
        <v>44</v>
      </c>
      <c r="B36" s="18">
        <v>8.8888888888888892E-2</v>
      </c>
      <c r="C36" s="18"/>
      <c r="D36" s="18"/>
      <c r="E36" s="18"/>
      <c r="F36" s="18"/>
      <c r="G36" s="18"/>
      <c r="H36" s="18"/>
      <c r="I36" s="18"/>
      <c r="J36" s="18">
        <v>8.8888888888888892E-2</v>
      </c>
    </row>
    <row r="37" spans="1:10" x14ac:dyDescent="0.3">
      <c r="A37" s="16" t="s">
        <v>85</v>
      </c>
      <c r="B37" s="18"/>
      <c r="C37" s="18"/>
      <c r="D37" s="18">
        <v>0.1111111111111111</v>
      </c>
      <c r="E37" s="18">
        <v>7.7777777777777779E-2</v>
      </c>
      <c r="F37" s="18"/>
      <c r="G37" s="18"/>
      <c r="H37" s="18"/>
      <c r="I37" s="18"/>
      <c r="J37" s="18">
        <v>9.4444444444444442E-2</v>
      </c>
    </row>
    <row r="38" spans="1:10" x14ac:dyDescent="0.3">
      <c r="A38" s="16" t="s">
        <v>90</v>
      </c>
      <c r="B38" s="18"/>
      <c r="C38" s="18"/>
      <c r="D38" s="18"/>
      <c r="E38" s="18">
        <v>6.6666666666666666E-2</v>
      </c>
      <c r="F38" s="18">
        <v>0.12222222222222222</v>
      </c>
      <c r="G38" s="18"/>
      <c r="H38" s="18"/>
      <c r="I38" s="18"/>
      <c r="J38" s="18">
        <v>9.4444444444444442E-2</v>
      </c>
    </row>
    <row r="39" spans="1:10" x14ac:dyDescent="0.3">
      <c r="A39" s="16" t="s">
        <v>59</v>
      </c>
      <c r="B39" s="18"/>
      <c r="C39" s="18">
        <v>0.1111111111111111</v>
      </c>
      <c r="D39" s="18">
        <v>0.1</v>
      </c>
      <c r="E39" s="18">
        <v>0.1111111111111111</v>
      </c>
      <c r="F39" s="18">
        <v>7.7777777777777779E-2</v>
      </c>
      <c r="G39" s="18"/>
      <c r="H39" s="18"/>
      <c r="I39" s="18"/>
      <c r="J39" s="18">
        <v>9.9999999999999992E-2</v>
      </c>
    </row>
    <row r="40" spans="1:10" x14ac:dyDescent="0.3">
      <c r="A40" s="16" t="s">
        <v>136</v>
      </c>
      <c r="B40" s="18"/>
      <c r="C40" s="18"/>
      <c r="D40" s="18"/>
      <c r="E40" s="18"/>
      <c r="F40" s="18"/>
      <c r="G40" s="18"/>
      <c r="H40" s="18"/>
      <c r="I40" s="18">
        <v>0.1</v>
      </c>
      <c r="J40" s="18">
        <v>0.1</v>
      </c>
    </row>
    <row r="41" spans="1:10" x14ac:dyDescent="0.3">
      <c r="A41" s="16" t="s">
        <v>137</v>
      </c>
      <c r="B41" s="18"/>
      <c r="C41" s="18"/>
      <c r="D41" s="18"/>
      <c r="E41" s="18"/>
      <c r="F41" s="18"/>
      <c r="G41" s="18"/>
      <c r="H41" s="18"/>
      <c r="I41" s="18">
        <v>0.1</v>
      </c>
      <c r="J41" s="18">
        <v>0.1</v>
      </c>
    </row>
    <row r="42" spans="1:10" x14ac:dyDescent="0.3">
      <c r="A42" s="16" t="s">
        <v>50</v>
      </c>
      <c r="B42" s="18">
        <v>6.6666666666666666E-2</v>
      </c>
      <c r="C42" s="18">
        <v>0.14444444444444443</v>
      </c>
      <c r="D42" s="18"/>
      <c r="E42" s="18"/>
      <c r="F42" s="18"/>
      <c r="G42" s="18"/>
      <c r="H42" s="18"/>
      <c r="I42" s="18"/>
      <c r="J42" s="18">
        <v>0.10555555555555554</v>
      </c>
    </row>
    <row r="43" spans="1:10" x14ac:dyDescent="0.3">
      <c r="A43" s="16" t="s">
        <v>30</v>
      </c>
      <c r="B43" s="18">
        <v>0.12222222222222222</v>
      </c>
      <c r="C43" s="18"/>
      <c r="D43" s="18">
        <v>8.8888888888888892E-2</v>
      </c>
      <c r="E43" s="18"/>
      <c r="F43" s="18"/>
      <c r="G43" s="18"/>
      <c r="H43" s="18"/>
      <c r="I43" s="18"/>
      <c r="J43" s="18">
        <v>0.10555555555555556</v>
      </c>
    </row>
    <row r="44" spans="1:10" x14ac:dyDescent="0.3">
      <c r="A44" s="16" t="s">
        <v>102</v>
      </c>
      <c r="B44" s="18"/>
      <c r="C44" s="18"/>
      <c r="D44" s="18"/>
      <c r="E44" s="18"/>
      <c r="F44" s="18">
        <v>0.1111111111111111</v>
      </c>
      <c r="G44" s="18">
        <v>0.17777777777777778</v>
      </c>
      <c r="H44" s="18">
        <v>6.6666666666666666E-2</v>
      </c>
      <c r="I44" s="18">
        <v>8.8888888888888892E-2</v>
      </c>
      <c r="J44" s="18">
        <v>0.1111111111111111</v>
      </c>
    </row>
    <row r="45" spans="1:10" x14ac:dyDescent="0.3">
      <c r="A45" s="16" t="s">
        <v>41</v>
      </c>
      <c r="B45" s="18">
        <v>0.1111111111111111</v>
      </c>
      <c r="C45" s="18"/>
      <c r="D45" s="18"/>
      <c r="E45" s="18"/>
      <c r="F45" s="18"/>
      <c r="G45" s="18"/>
      <c r="H45" s="18"/>
      <c r="I45" s="18"/>
      <c r="J45" s="18">
        <v>0.1111111111111111</v>
      </c>
    </row>
    <row r="46" spans="1:10" x14ac:dyDescent="0.3">
      <c r="A46" s="16" t="s">
        <v>123</v>
      </c>
      <c r="B46" s="18"/>
      <c r="C46" s="18"/>
      <c r="D46" s="18"/>
      <c r="E46" s="18"/>
      <c r="F46" s="18"/>
      <c r="G46" s="18"/>
      <c r="H46" s="18">
        <v>3.3333333333333333E-2</v>
      </c>
      <c r="I46" s="18">
        <v>0.18888888888888888</v>
      </c>
      <c r="J46" s="18">
        <v>0.1111111111111111</v>
      </c>
    </row>
    <row r="47" spans="1:10" x14ac:dyDescent="0.3">
      <c r="A47" s="16" t="s">
        <v>95</v>
      </c>
      <c r="B47" s="18"/>
      <c r="C47" s="18"/>
      <c r="D47" s="18"/>
      <c r="E47" s="18">
        <v>0.17777777777777778</v>
      </c>
      <c r="F47" s="18">
        <v>4.4444444444444446E-2</v>
      </c>
      <c r="G47" s="18"/>
      <c r="H47" s="18"/>
      <c r="I47" s="18"/>
      <c r="J47" s="18">
        <v>0.11111111111111112</v>
      </c>
    </row>
    <row r="48" spans="1:10" x14ac:dyDescent="0.3">
      <c r="A48" s="16" t="s">
        <v>51</v>
      </c>
      <c r="B48" s="18">
        <v>5.5555555555555552E-2</v>
      </c>
      <c r="C48" s="18">
        <v>0.17777777777777778</v>
      </c>
      <c r="D48" s="18">
        <v>0.13333333333333333</v>
      </c>
      <c r="E48" s="18">
        <v>0.16666666666666666</v>
      </c>
      <c r="F48" s="18">
        <v>0.15555555555555556</v>
      </c>
      <c r="G48" s="18">
        <v>1.1111111111111112E-2</v>
      </c>
      <c r="H48" s="18"/>
      <c r="I48" s="18"/>
      <c r="J48" s="18">
        <v>0.11666666666666665</v>
      </c>
    </row>
    <row r="49" spans="1:10" x14ac:dyDescent="0.3">
      <c r="A49" s="16" t="s">
        <v>92</v>
      </c>
      <c r="B49" s="18"/>
      <c r="C49" s="18"/>
      <c r="D49" s="18"/>
      <c r="E49" s="18">
        <v>0.26666666666666666</v>
      </c>
      <c r="F49" s="18"/>
      <c r="G49" s="18"/>
      <c r="H49" s="18">
        <v>5.5555555555555552E-2</v>
      </c>
      <c r="I49" s="18">
        <v>3.3333333333333333E-2</v>
      </c>
      <c r="J49" s="18">
        <v>0.11851851851851851</v>
      </c>
    </row>
    <row r="50" spans="1:10" x14ac:dyDescent="0.3">
      <c r="A50" s="16" t="s">
        <v>131</v>
      </c>
      <c r="B50" s="18"/>
      <c r="C50" s="18"/>
      <c r="D50" s="18"/>
      <c r="E50" s="18"/>
      <c r="F50" s="18"/>
      <c r="G50" s="18"/>
      <c r="H50" s="18"/>
      <c r="I50" s="18">
        <v>0.12222222222222222</v>
      </c>
      <c r="J50" s="18">
        <v>0.12222222222222222</v>
      </c>
    </row>
    <row r="51" spans="1:10" x14ac:dyDescent="0.3">
      <c r="A51" s="16" t="s">
        <v>118</v>
      </c>
      <c r="B51" s="18"/>
      <c r="C51" s="18"/>
      <c r="D51" s="18"/>
      <c r="E51" s="18"/>
      <c r="F51" s="18"/>
      <c r="G51" s="18">
        <v>6.6666666666666666E-2</v>
      </c>
      <c r="H51" s="18">
        <v>0.17777777777777778</v>
      </c>
      <c r="I51" s="18"/>
      <c r="J51" s="18">
        <v>0.12222222222222223</v>
      </c>
    </row>
    <row r="52" spans="1:10" x14ac:dyDescent="0.3">
      <c r="A52" s="16" t="s">
        <v>106</v>
      </c>
      <c r="B52" s="18"/>
      <c r="C52" s="18"/>
      <c r="D52" s="18"/>
      <c r="E52" s="18"/>
      <c r="F52" s="18">
        <v>0.14444444444444443</v>
      </c>
      <c r="G52" s="18">
        <v>0.1111111111111111</v>
      </c>
      <c r="H52" s="18">
        <v>0.12222222222222222</v>
      </c>
      <c r="I52" s="18">
        <v>0.12222222222222222</v>
      </c>
      <c r="J52" s="18">
        <v>0.125</v>
      </c>
    </row>
    <row r="53" spans="1:10" x14ac:dyDescent="0.3">
      <c r="A53" s="16" t="s">
        <v>29</v>
      </c>
      <c r="B53" s="18">
        <v>0.13333333333333333</v>
      </c>
      <c r="C53" s="18">
        <v>0.2</v>
      </c>
      <c r="D53" s="18">
        <v>5.5555555555555552E-2</v>
      </c>
      <c r="E53" s="18"/>
      <c r="F53" s="18"/>
      <c r="G53" s="18"/>
      <c r="H53" s="18"/>
      <c r="I53" s="18"/>
      <c r="J53" s="18">
        <v>0.12962962962962965</v>
      </c>
    </row>
    <row r="54" spans="1:10" x14ac:dyDescent="0.3">
      <c r="A54" s="16" t="s">
        <v>132</v>
      </c>
      <c r="B54" s="18"/>
      <c r="C54" s="18"/>
      <c r="D54" s="18"/>
      <c r="E54" s="18"/>
      <c r="F54" s="18"/>
      <c r="G54" s="18"/>
      <c r="H54" s="18"/>
      <c r="I54" s="18">
        <v>0.13333333333333333</v>
      </c>
      <c r="J54" s="18">
        <v>0.13333333333333333</v>
      </c>
    </row>
    <row r="55" spans="1:10" x14ac:dyDescent="0.3">
      <c r="A55" s="16" t="s">
        <v>94</v>
      </c>
      <c r="B55" s="18"/>
      <c r="C55" s="18"/>
      <c r="D55" s="18"/>
      <c r="E55" s="18">
        <v>0.1111111111111111</v>
      </c>
      <c r="F55" s="18">
        <v>0.15555555555555556</v>
      </c>
      <c r="G55" s="18"/>
      <c r="H55" s="18"/>
      <c r="I55" s="18"/>
      <c r="J55" s="18">
        <v>0.13333333333333333</v>
      </c>
    </row>
    <row r="56" spans="1:10" x14ac:dyDescent="0.3">
      <c r="A56" s="16" t="s">
        <v>135</v>
      </c>
      <c r="B56" s="18"/>
      <c r="C56" s="18"/>
      <c r="D56" s="18"/>
      <c r="E56" s="18"/>
      <c r="F56" s="18"/>
      <c r="G56" s="18"/>
      <c r="H56" s="18"/>
      <c r="I56" s="18">
        <v>0.13333333333333333</v>
      </c>
      <c r="J56" s="18">
        <v>0.13333333333333333</v>
      </c>
    </row>
    <row r="57" spans="1:10" x14ac:dyDescent="0.3">
      <c r="A57" s="16" t="s">
        <v>96</v>
      </c>
      <c r="B57" s="18"/>
      <c r="C57" s="18"/>
      <c r="D57" s="18"/>
      <c r="E57" s="18">
        <v>0.24444444444444444</v>
      </c>
      <c r="F57" s="18">
        <v>3.3333333333333333E-2</v>
      </c>
      <c r="G57" s="18"/>
      <c r="H57" s="18"/>
      <c r="I57" s="18"/>
      <c r="J57" s="18">
        <v>0.1388888888888889</v>
      </c>
    </row>
    <row r="58" spans="1:10" x14ac:dyDescent="0.3">
      <c r="A58" s="16" t="s">
        <v>22</v>
      </c>
      <c r="B58" s="18">
        <v>0.1</v>
      </c>
      <c r="C58" s="18">
        <v>0.25555555555555554</v>
      </c>
      <c r="D58" s="18">
        <v>0.12222222222222222</v>
      </c>
      <c r="E58" s="18">
        <v>0.12222222222222222</v>
      </c>
      <c r="F58" s="18"/>
      <c r="G58" s="18"/>
      <c r="H58" s="18"/>
      <c r="I58" s="18"/>
      <c r="J58" s="18">
        <v>0.13999999999999999</v>
      </c>
    </row>
    <row r="59" spans="1:10" x14ac:dyDescent="0.3">
      <c r="A59" s="16" t="s">
        <v>56</v>
      </c>
      <c r="B59" s="18"/>
      <c r="C59" s="18">
        <v>0.14444444444444443</v>
      </c>
      <c r="D59" s="18"/>
      <c r="E59" s="18"/>
      <c r="F59" s="18"/>
      <c r="G59" s="18"/>
      <c r="H59" s="18"/>
      <c r="I59" s="18"/>
      <c r="J59" s="18">
        <v>0.14444444444444443</v>
      </c>
    </row>
    <row r="60" spans="1:10" x14ac:dyDescent="0.3">
      <c r="A60" s="16" t="s">
        <v>91</v>
      </c>
      <c r="B60" s="18"/>
      <c r="C60" s="18"/>
      <c r="D60" s="18"/>
      <c r="E60" s="18">
        <v>4.4444444444444446E-2</v>
      </c>
      <c r="F60" s="18">
        <v>0.13333333333333333</v>
      </c>
      <c r="G60" s="18">
        <v>0.24444444444444444</v>
      </c>
      <c r="H60" s="18">
        <v>0.14444444444444443</v>
      </c>
      <c r="I60" s="18">
        <v>0.16666666666666666</v>
      </c>
      <c r="J60" s="18">
        <v>0.14666666666666667</v>
      </c>
    </row>
    <row r="61" spans="1:10" x14ac:dyDescent="0.3">
      <c r="A61" s="16" t="s">
        <v>83</v>
      </c>
      <c r="B61" s="18"/>
      <c r="C61" s="18"/>
      <c r="D61" s="18">
        <v>0.2</v>
      </c>
      <c r="E61" s="18">
        <v>0.1111111111111111</v>
      </c>
      <c r="F61" s="18">
        <v>0.13333333333333333</v>
      </c>
      <c r="G61" s="18"/>
      <c r="H61" s="18"/>
      <c r="I61" s="18"/>
      <c r="J61" s="18">
        <v>0.14814814814814814</v>
      </c>
    </row>
    <row r="62" spans="1:10" x14ac:dyDescent="0.3">
      <c r="A62" s="16" t="s">
        <v>42</v>
      </c>
      <c r="B62" s="18">
        <v>0.21111111111111111</v>
      </c>
      <c r="C62" s="18">
        <v>8.8888888888888892E-2</v>
      </c>
      <c r="D62" s="18"/>
      <c r="E62" s="18"/>
      <c r="F62" s="18"/>
      <c r="G62" s="18"/>
      <c r="H62" s="18"/>
      <c r="I62" s="18"/>
      <c r="J62" s="18">
        <v>0.15</v>
      </c>
    </row>
    <row r="63" spans="1:10" x14ac:dyDescent="0.3">
      <c r="A63" s="16" t="s">
        <v>130</v>
      </c>
      <c r="B63" s="18"/>
      <c r="C63" s="18"/>
      <c r="D63" s="18"/>
      <c r="E63" s="18"/>
      <c r="F63" s="18"/>
      <c r="G63" s="18"/>
      <c r="H63" s="18"/>
      <c r="I63" s="18">
        <v>0.15555555555555556</v>
      </c>
      <c r="J63" s="18">
        <v>0.15555555555555556</v>
      </c>
    </row>
    <row r="64" spans="1:10" x14ac:dyDescent="0.3">
      <c r="A64" s="16" t="s">
        <v>55</v>
      </c>
      <c r="B64" s="18"/>
      <c r="C64" s="18">
        <v>0.15555555555555556</v>
      </c>
      <c r="D64" s="18"/>
      <c r="E64" s="18"/>
      <c r="F64" s="18"/>
      <c r="G64" s="18"/>
      <c r="H64" s="18"/>
      <c r="I64" s="18"/>
      <c r="J64" s="18">
        <v>0.15555555555555556</v>
      </c>
    </row>
    <row r="65" spans="1:10" x14ac:dyDescent="0.3">
      <c r="A65" s="16" t="s">
        <v>100</v>
      </c>
      <c r="B65" s="18"/>
      <c r="C65" s="18"/>
      <c r="D65" s="18"/>
      <c r="E65" s="18"/>
      <c r="F65" s="18">
        <v>0.1111111111111111</v>
      </c>
      <c r="G65" s="18">
        <v>7.7777777777777779E-2</v>
      </c>
      <c r="H65" s="18">
        <v>0.2</v>
      </c>
      <c r="I65" s="18">
        <v>0.24444444444444444</v>
      </c>
      <c r="J65" s="18">
        <v>0.15833333333333333</v>
      </c>
    </row>
    <row r="66" spans="1:10" x14ac:dyDescent="0.3">
      <c r="A66" s="16" t="s">
        <v>127</v>
      </c>
      <c r="B66" s="18"/>
      <c r="C66" s="18"/>
      <c r="D66" s="18"/>
      <c r="E66" s="18"/>
      <c r="F66" s="18"/>
      <c r="G66" s="18"/>
      <c r="H66" s="18">
        <v>0.16666666666666666</v>
      </c>
      <c r="I66" s="18">
        <v>0.15555555555555556</v>
      </c>
      <c r="J66" s="18">
        <v>0.16111111111111109</v>
      </c>
    </row>
    <row r="67" spans="1:10" x14ac:dyDescent="0.3">
      <c r="A67" s="16" t="s">
        <v>86</v>
      </c>
      <c r="B67" s="18"/>
      <c r="C67" s="18"/>
      <c r="D67" s="18">
        <v>0.22222222222222221</v>
      </c>
      <c r="E67" s="18">
        <v>0.18888888888888888</v>
      </c>
      <c r="F67" s="18">
        <v>8.8888888888888892E-2</v>
      </c>
      <c r="G67" s="18"/>
      <c r="H67" s="18"/>
      <c r="I67" s="18"/>
      <c r="J67" s="18">
        <v>0.16666666666666666</v>
      </c>
    </row>
    <row r="68" spans="1:10" x14ac:dyDescent="0.3">
      <c r="A68" s="16" t="s">
        <v>117</v>
      </c>
      <c r="B68" s="18"/>
      <c r="C68" s="18"/>
      <c r="D68" s="18"/>
      <c r="E68" s="18"/>
      <c r="F68" s="18"/>
      <c r="G68" s="18">
        <v>0.1</v>
      </c>
      <c r="H68" s="18">
        <v>0.16666666666666666</v>
      </c>
      <c r="I68" s="18">
        <v>0.23333333333333334</v>
      </c>
      <c r="J68" s="18">
        <v>0.16666666666666666</v>
      </c>
    </row>
    <row r="69" spans="1:10" x14ac:dyDescent="0.3">
      <c r="A69" s="16" t="s">
        <v>28</v>
      </c>
      <c r="B69" s="18">
        <v>0.23333333333333334</v>
      </c>
      <c r="C69" s="18">
        <v>0.1</v>
      </c>
      <c r="D69" s="18"/>
      <c r="E69" s="18"/>
      <c r="F69" s="18"/>
      <c r="G69" s="18"/>
      <c r="H69" s="18"/>
      <c r="I69" s="18"/>
      <c r="J69" s="18">
        <v>0.16666666666666669</v>
      </c>
    </row>
    <row r="70" spans="1:10" x14ac:dyDescent="0.3">
      <c r="A70" s="16" t="s">
        <v>125</v>
      </c>
      <c r="B70" s="18"/>
      <c r="C70" s="18"/>
      <c r="D70" s="18"/>
      <c r="E70" s="18"/>
      <c r="F70" s="18"/>
      <c r="G70" s="18"/>
      <c r="H70" s="18">
        <v>0.2</v>
      </c>
      <c r="I70" s="18">
        <v>0.13333333333333333</v>
      </c>
      <c r="J70" s="18">
        <v>0.16666666666666669</v>
      </c>
    </row>
    <row r="71" spans="1:10" x14ac:dyDescent="0.3">
      <c r="A71" s="16" t="s">
        <v>48</v>
      </c>
      <c r="B71" s="18">
        <v>0.31111111111111112</v>
      </c>
      <c r="C71" s="18"/>
      <c r="D71" s="18">
        <v>0.16666666666666666</v>
      </c>
      <c r="E71" s="18"/>
      <c r="F71" s="18">
        <v>3.3333333333333333E-2</v>
      </c>
      <c r="G71" s="18"/>
      <c r="H71" s="18"/>
      <c r="I71" s="18"/>
      <c r="J71" s="18">
        <v>0.17037037037037037</v>
      </c>
    </row>
    <row r="72" spans="1:10" x14ac:dyDescent="0.3">
      <c r="A72" s="16" t="s">
        <v>43</v>
      </c>
      <c r="B72" s="18">
        <v>0.22222222222222221</v>
      </c>
      <c r="C72" s="18">
        <v>0.15555555555555556</v>
      </c>
      <c r="D72" s="18">
        <v>0.35555555555555557</v>
      </c>
      <c r="E72" s="18">
        <v>0.13333333333333333</v>
      </c>
      <c r="F72" s="18"/>
      <c r="G72" s="18">
        <v>0.13333333333333333</v>
      </c>
      <c r="H72" s="18">
        <v>3.3333333333333333E-2</v>
      </c>
      <c r="I72" s="18"/>
      <c r="J72" s="18">
        <v>0.17222222222222225</v>
      </c>
    </row>
    <row r="73" spans="1:10" x14ac:dyDescent="0.3">
      <c r="A73" s="16" t="s">
        <v>104</v>
      </c>
      <c r="B73" s="18"/>
      <c r="C73" s="18"/>
      <c r="D73" s="18"/>
      <c r="E73" s="18"/>
      <c r="F73" s="18">
        <v>0.3</v>
      </c>
      <c r="G73" s="18">
        <v>5.5555555555555552E-2</v>
      </c>
      <c r="H73" s="18"/>
      <c r="I73" s="18"/>
      <c r="J73" s="18">
        <v>0.17777777777777776</v>
      </c>
    </row>
    <row r="74" spans="1:10" x14ac:dyDescent="0.3">
      <c r="A74" s="16" t="s">
        <v>57</v>
      </c>
      <c r="B74" s="18"/>
      <c r="C74" s="18">
        <v>0.22222222222222221</v>
      </c>
      <c r="D74" s="18">
        <v>0.22222222222222221</v>
      </c>
      <c r="E74" s="18">
        <v>8.8888888888888892E-2</v>
      </c>
      <c r="F74" s="18"/>
      <c r="G74" s="18"/>
      <c r="H74" s="18"/>
      <c r="I74" s="18"/>
      <c r="J74" s="18">
        <v>0.17777777777777778</v>
      </c>
    </row>
    <row r="75" spans="1:10" x14ac:dyDescent="0.3">
      <c r="A75" s="16" t="s">
        <v>111</v>
      </c>
      <c r="B75" s="18"/>
      <c r="C75" s="18"/>
      <c r="D75" s="18"/>
      <c r="E75" s="18"/>
      <c r="F75" s="18"/>
      <c r="G75" s="18">
        <v>0.12222222222222222</v>
      </c>
      <c r="H75" s="18">
        <v>0.21111111111111111</v>
      </c>
      <c r="I75" s="18">
        <v>0.21111111111111111</v>
      </c>
      <c r="J75" s="18">
        <v>0.18148148148148147</v>
      </c>
    </row>
    <row r="76" spans="1:10" x14ac:dyDescent="0.3">
      <c r="A76" s="16" t="s">
        <v>93</v>
      </c>
      <c r="B76" s="18"/>
      <c r="C76" s="18"/>
      <c r="D76" s="18"/>
      <c r="E76" s="18">
        <v>0.17777777777777778</v>
      </c>
      <c r="F76" s="18">
        <v>0.2</v>
      </c>
      <c r="G76" s="18">
        <v>0.1111111111111111</v>
      </c>
      <c r="H76" s="18">
        <v>0.23333333333333334</v>
      </c>
      <c r="I76" s="18">
        <v>0.21111111111111111</v>
      </c>
      <c r="J76" s="18">
        <v>0.18666666666666668</v>
      </c>
    </row>
    <row r="77" spans="1:10" x14ac:dyDescent="0.3">
      <c r="A77" s="16" t="s">
        <v>89</v>
      </c>
      <c r="B77" s="18"/>
      <c r="C77" s="18"/>
      <c r="D77" s="18"/>
      <c r="E77" s="18">
        <v>0.15555555555555556</v>
      </c>
      <c r="F77" s="18">
        <v>0.3</v>
      </c>
      <c r="G77" s="18">
        <v>0.16666666666666666</v>
      </c>
      <c r="H77" s="18">
        <v>0.21111111111111111</v>
      </c>
      <c r="I77" s="18">
        <v>0.13333333333333333</v>
      </c>
      <c r="J77" s="18">
        <v>0.19333333333333333</v>
      </c>
    </row>
    <row r="78" spans="1:10" x14ac:dyDescent="0.3">
      <c r="A78" s="16" t="s">
        <v>109</v>
      </c>
      <c r="B78" s="18"/>
      <c r="C78" s="18"/>
      <c r="D78" s="18"/>
      <c r="E78" s="18"/>
      <c r="F78" s="18"/>
      <c r="G78" s="18">
        <v>0.1</v>
      </c>
      <c r="H78" s="18">
        <v>0.24444444444444444</v>
      </c>
      <c r="I78" s="18">
        <v>0.26666666666666666</v>
      </c>
      <c r="J78" s="18">
        <v>0.20370370370370372</v>
      </c>
    </row>
    <row r="79" spans="1:10" x14ac:dyDescent="0.3">
      <c r="A79" s="16" t="s">
        <v>37</v>
      </c>
      <c r="B79" s="18">
        <v>0.21111111111111111</v>
      </c>
      <c r="C79" s="18">
        <v>0.28888888888888886</v>
      </c>
      <c r="D79" s="18">
        <v>0.2</v>
      </c>
      <c r="E79" s="18">
        <v>0.15555555555555556</v>
      </c>
      <c r="F79" s="18">
        <v>0.22222222222222221</v>
      </c>
      <c r="G79" s="18">
        <v>0.14444444444444443</v>
      </c>
      <c r="H79" s="18">
        <v>0.23333333333333334</v>
      </c>
      <c r="I79" s="18"/>
      <c r="J79" s="18">
        <v>0.20793650793650792</v>
      </c>
    </row>
    <row r="80" spans="1:10" x14ac:dyDescent="0.3">
      <c r="A80" s="16" t="s">
        <v>82</v>
      </c>
      <c r="B80" s="18"/>
      <c r="C80" s="18"/>
      <c r="D80" s="18">
        <v>0.24444444444444444</v>
      </c>
      <c r="E80" s="18">
        <v>0.17777777777777778</v>
      </c>
      <c r="F80" s="18"/>
      <c r="G80" s="18"/>
      <c r="H80" s="18"/>
      <c r="I80" s="18"/>
      <c r="J80" s="18">
        <v>0.21111111111111111</v>
      </c>
    </row>
    <row r="81" spans="1:10" x14ac:dyDescent="0.3">
      <c r="A81" s="16" t="s">
        <v>139</v>
      </c>
      <c r="B81" s="18"/>
      <c r="C81" s="18"/>
      <c r="D81" s="18"/>
      <c r="E81" s="18"/>
      <c r="F81" s="18"/>
      <c r="G81" s="18"/>
      <c r="H81" s="18"/>
      <c r="I81" s="18">
        <v>0.21111111111111111</v>
      </c>
      <c r="J81" s="18">
        <v>0.21111111111111111</v>
      </c>
    </row>
    <row r="82" spans="1:10" x14ac:dyDescent="0.3">
      <c r="A82" s="16" t="s">
        <v>23</v>
      </c>
      <c r="B82" s="18">
        <v>0.15555555555555556</v>
      </c>
      <c r="C82" s="18">
        <v>0.42222222222222222</v>
      </c>
      <c r="D82" s="18">
        <v>0.35555555555555557</v>
      </c>
      <c r="E82" s="18">
        <v>0.21111111111111111</v>
      </c>
      <c r="F82" s="18">
        <v>0.1</v>
      </c>
      <c r="G82" s="18">
        <v>4.4444444444444446E-2</v>
      </c>
      <c r="H82" s="18"/>
      <c r="I82" s="18"/>
      <c r="J82" s="18">
        <v>0.21481481481481482</v>
      </c>
    </row>
    <row r="83" spans="1:10" x14ac:dyDescent="0.3">
      <c r="A83" s="16" t="s">
        <v>80</v>
      </c>
      <c r="B83" s="18"/>
      <c r="C83" s="18"/>
      <c r="D83" s="18">
        <v>0.2</v>
      </c>
      <c r="E83" s="18">
        <v>0.23333333333333334</v>
      </c>
      <c r="F83" s="18"/>
      <c r="G83" s="18"/>
      <c r="H83" s="18"/>
      <c r="I83" s="18"/>
      <c r="J83" s="18">
        <v>0.21666666666666667</v>
      </c>
    </row>
    <row r="84" spans="1:10" x14ac:dyDescent="0.3">
      <c r="A84" s="16" t="s">
        <v>97</v>
      </c>
      <c r="B84" s="18"/>
      <c r="C84" s="18"/>
      <c r="D84" s="18"/>
      <c r="E84" s="18">
        <v>0.22222222222222221</v>
      </c>
      <c r="F84" s="18"/>
      <c r="G84" s="18"/>
      <c r="H84" s="18"/>
      <c r="I84" s="18"/>
      <c r="J84" s="18">
        <v>0.22222222222222221</v>
      </c>
    </row>
    <row r="85" spans="1:10" x14ac:dyDescent="0.3">
      <c r="A85" s="16" t="s">
        <v>21</v>
      </c>
      <c r="B85" s="18">
        <v>0.23333333333333334</v>
      </c>
      <c r="C85" s="18">
        <v>0.33333333333333331</v>
      </c>
      <c r="D85" s="18">
        <v>0.17777777777777778</v>
      </c>
      <c r="E85" s="18">
        <v>0.22222222222222221</v>
      </c>
      <c r="F85" s="18">
        <v>0.15555555555555556</v>
      </c>
      <c r="G85" s="18"/>
      <c r="H85" s="18"/>
      <c r="I85" s="18"/>
      <c r="J85" s="18">
        <v>0.22444444444444445</v>
      </c>
    </row>
    <row r="86" spans="1:10" x14ac:dyDescent="0.3">
      <c r="A86" s="16" t="s">
        <v>121</v>
      </c>
      <c r="B86" s="18"/>
      <c r="C86" s="18"/>
      <c r="D86" s="18"/>
      <c r="E86" s="18"/>
      <c r="F86" s="18"/>
      <c r="G86" s="18"/>
      <c r="H86" s="18">
        <v>0.25555555555555554</v>
      </c>
      <c r="I86" s="18">
        <v>0.2</v>
      </c>
      <c r="J86" s="18">
        <v>0.22777777777777777</v>
      </c>
    </row>
    <row r="87" spans="1:10" x14ac:dyDescent="0.3">
      <c r="A87" s="16" t="s">
        <v>84</v>
      </c>
      <c r="B87" s="18"/>
      <c r="C87" s="18"/>
      <c r="D87" s="18">
        <v>0.18888888888888888</v>
      </c>
      <c r="E87" s="18">
        <v>0.28888888888888886</v>
      </c>
      <c r="F87" s="18">
        <v>0.27777777777777779</v>
      </c>
      <c r="G87" s="18"/>
      <c r="H87" s="18"/>
      <c r="I87" s="18">
        <v>0.16666666666666666</v>
      </c>
      <c r="J87" s="18">
        <v>0.23055555555555554</v>
      </c>
    </row>
    <row r="88" spans="1:10" x14ac:dyDescent="0.3">
      <c r="A88" s="16" t="s">
        <v>36</v>
      </c>
      <c r="B88" s="18">
        <v>0.22222222222222221</v>
      </c>
      <c r="C88" s="18">
        <v>0.31111111111111112</v>
      </c>
      <c r="D88" s="18">
        <v>0.37777777777777777</v>
      </c>
      <c r="E88" s="18">
        <v>0.2</v>
      </c>
      <c r="F88" s="18">
        <v>0.26666666666666666</v>
      </c>
      <c r="G88" s="18">
        <v>0.2</v>
      </c>
      <c r="H88" s="18">
        <v>0.17777777777777778</v>
      </c>
      <c r="I88" s="18">
        <v>0.1</v>
      </c>
      <c r="J88" s="18">
        <v>0.23194444444444445</v>
      </c>
    </row>
    <row r="89" spans="1:10" x14ac:dyDescent="0.3">
      <c r="A89" s="16" t="s">
        <v>108</v>
      </c>
      <c r="B89" s="18"/>
      <c r="C89" s="18"/>
      <c r="D89" s="18"/>
      <c r="E89" s="18"/>
      <c r="F89" s="18"/>
      <c r="G89" s="18">
        <v>0.22222222222222221</v>
      </c>
      <c r="H89" s="18">
        <v>0.34444444444444444</v>
      </c>
      <c r="I89" s="18">
        <v>0.13333333333333333</v>
      </c>
      <c r="J89" s="18">
        <v>0.23333333333333331</v>
      </c>
    </row>
    <row r="90" spans="1:10" x14ac:dyDescent="0.3">
      <c r="A90" s="16" t="s">
        <v>39</v>
      </c>
      <c r="B90" s="18">
        <v>0.4</v>
      </c>
      <c r="C90" s="18">
        <v>0.2</v>
      </c>
      <c r="D90" s="18"/>
      <c r="E90" s="18"/>
      <c r="F90" s="18">
        <v>0.14444444444444443</v>
      </c>
      <c r="G90" s="18"/>
      <c r="H90" s="18"/>
      <c r="I90" s="18"/>
      <c r="J90" s="18">
        <v>0.24814814814814815</v>
      </c>
    </row>
    <row r="91" spans="1:10" x14ac:dyDescent="0.3">
      <c r="A91" s="16" t="s">
        <v>14</v>
      </c>
      <c r="B91" s="18">
        <v>0.46666666666666667</v>
      </c>
      <c r="C91" s="18">
        <v>0.25555555555555554</v>
      </c>
      <c r="D91" s="18">
        <v>0.24444444444444444</v>
      </c>
      <c r="E91" s="18">
        <v>0.2</v>
      </c>
      <c r="F91" s="18">
        <v>0.17777777777777778</v>
      </c>
      <c r="G91" s="18">
        <v>0.2</v>
      </c>
      <c r="H91" s="18"/>
      <c r="I91" s="18"/>
      <c r="J91" s="18">
        <v>0.25740740740740742</v>
      </c>
    </row>
    <row r="92" spans="1:10" x14ac:dyDescent="0.3">
      <c r="A92" s="16" t="s">
        <v>103</v>
      </c>
      <c r="B92" s="18"/>
      <c r="C92" s="18"/>
      <c r="D92" s="18"/>
      <c r="E92" s="18"/>
      <c r="F92" s="18">
        <v>4.4444444444444446E-2</v>
      </c>
      <c r="G92" s="18"/>
      <c r="H92" s="18">
        <v>0.44444444444444442</v>
      </c>
      <c r="I92" s="18">
        <v>0.28888888888888886</v>
      </c>
      <c r="J92" s="18">
        <v>0.25925925925925924</v>
      </c>
    </row>
    <row r="93" spans="1:10" x14ac:dyDescent="0.3">
      <c r="A93" s="16" t="s">
        <v>40</v>
      </c>
      <c r="B93" s="18">
        <v>0.23333333333333334</v>
      </c>
      <c r="C93" s="18">
        <v>0.23333333333333334</v>
      </c>
      <c r="D93" s="18">
        <v>0.34444444444444444</v>
      </c>
      <c r="E93" s="18">
        <v>0.37777777777777777</v>
      </c>
      <c r="F93" s="18">
        <v>7.7777777777777779E-2</v>
      </c>
      <c r="G93" s="18">
        <v>0.43333333333333335</v>
      </c>
      <c r="H93" s="18">
        <v>0.14444444444444443</v>
      </c>
      <c r="I93" s="18"/>
      <c r="J93" s="18">
        <v>0.2634920634920635</v>
      </c>
    </row>
    <row r="94" spans="1:10" x14ac:dyDescent="0.3">
      <c r="A94" s="16" t="s">
        <v>115</v>
      </c>
      <c r="B94" s="18"/>
      <c r="C94" s="18"/>
      <c r="D94" s="18"/>
      <c r="E94" s="18"/>
      <c r="F94" s="18"/>
      <c r="G94" s="18">
        <v>0.23333333333333334</v>
      </c>
      <c r="H94" s="18">
        <v>0.31111111111111112</v>
      </c>
      <c r="I94" s="18"/>
      <c r="J94" s="18">
        <v>0.27222222222222225</v>
      </c>
    </row>
    <row r="95" spans="1:10" x14ac:dyDescent="0.3">
      <c r="A95" s="16" t="s">
        <v>33</v>
      </c>
      <c r="B95" s="18">
        <v>0.41111111111111109</v>
      </c>
      <c r="C95" s="18">
        <v>0.43333333333333335</v>
      </c>
      <c r="D95" s="18">
        <v>0.4</v>
      </c>
      <c r="E95" s="18">
        <v>0.26666666666666666</v>
      </c>
      <c r="F95" s="18">
        <v>0.27777777777777779</v>
      </c>
      <c r="G95" s="18">
        <v>0.14444444444444443</v>
      </c>
      <c r="H95" s="18">
        <v>0.2</v>
      </c>
      <c r="I95" s="18">
        <v>6.6666666666666666E-2</v>
      </c>
      <c r="J95" s="18">
        <v>0.27500000000000002</v>
      </c>
    </row>
    <row r="96" spans="1:10" x14ac:dyDescent="0.3">
      <c r="A96" s="16" t="s">
        <v>101</v>
      </c>
      <c r="B96" s="18"/>
      <c r="C96" s="18"/>
      <c r="D96" s="18"/>
      <c r="E96" s="18"/>
      <c r="F96" s="18">
        <v>0.21111111111111111</v>
      </c>
      <c r="G96" s="18">
        <v>0.28888888888888886</v>
      </c>
      <c r="H96" s="18">
        <v>0.37777777777777777</v>
      </c>
      <c r="I96" s="18">
        <v>0.27777777777777779</v>
      </c>
      <c r="J96" s="18">
        <v>0.28888888888888886</v>
      </c>
    </row>
    <row r="97" spans="1:10" x14ac:dyDescent="0.3">
      <c r="A97" s="16" t="s">
        <v>60</v>
      </c>
      <c r="B97" s="18"/>
      <c r="C97" s="18">
        <v>0.26666666666666666</v>
      </c>
      <c r="D97" s="18">
        <v>0.28888888888888886</v>
      </c>
      <c r="E97" s="18">
        <v>0.25555555555555554</v>
      </c>
      <c r="F97" s="18">
        <v>0.36666666666666664</v>
      </c>
      <c r="G97" s="18">
        <v>0.31111111111111112</v>
      </c>
      <c r="H97" s="18"/>
      <c r="I97" s="18"/>
      <c r="J97" s="18">
        <v>0.29777777777777781</v>
      </c>
    </row>
    <row r="98" spans="1:10" x14ac:dyDescent="0.3">
      <c r="A98" s="16" t="s">
        <v>49</v>
      </c>
      <c r="B98" s="18">
        <v>0.32222222222222224</v>
      </c>
      <c r="C98" s="18">
        <v>0.32222222222222224</v>
      </c>
      <c r="D98" s="18">
        <v>0.33333333333333331</v>
      </c>
      <c r="E98" s="18">
        <v>0.3888888888888889</v>
      </c>
      <c r="F98" s="18">
        <v>0.35555555555555557</v>
      </c>
      <c r="G98" s="18">
        <v>0.22222222222222221</v>
      </c>
      <c r="H98" s="18">
        <v>0.3</v>
      </c>
      <c r="I98" s="18">
        <v>0.17777777777777778</v>
      </c>
      <c r="J98" s="18">
        <v>0.30277777777777776</v>
      </c>
    </row>
    <row r="99" spans="1:10" x14ac:dyDescent="0.3">
      <c r="A99" s="16" t="s">
        <v>16</v>
      </c>
      <c r="B99" s="18">
        <v>0.32222222222222224</v>
      </c>
      <c r="C99" s="18">
        <v>0.31111111111111112</v>
      </c>
      <c r="D99" s="18">
        <v>0.34444444444444444</v>
      </c>
      <c r="E99" s="18">
        <v>0.26666666666666666</v>
      </c>
      <c r="F99" s="18">
        <v>0.28888888888888886</v>
      </c>
      <c r="G99" s="18"/>
      <c r="H99" s="18"/>
      <c r="I99" s="18"/>
      <c r="J99" s="18">
        <v>0.30666666666666664</v>
      </c>
    </row>
    <row r="100" spans="1:10" x14ac:dyDescent="0.3">
      <c r="A100" s="16" t="s">
        <v>35</v>
      </c>
      <c r="B100" s="18">
        <v>0.41111111111111109</v>
      </c>
      <c r="C100" s="18">
        <v>0.46666666666666667</v>
      </c>
      <c r="D100" s="18">
        <v>0.28888888888888886</v>
      </c>
      <c r="E100" s="18">
        <v>7.7777777777777779E-2</v>
      </c>
      <c r="F100" s="18"/>
      <c r="G100" s="18"/>
      <c r="H100" s="18"/>
      <c r="I100" s="18"/>
      <c r="J100" s="18">
        <v>0.31111111111111106</v>
      </c>
    </row>
    <row r="101" spans="1:10" x14ac:dyDescent="0.3">
      <c r="A101" s="16" t="s">
        <v>34</v>
      </c>
      <c r="B101" s="18">
        <v>0.36666666666666664</v>
      </c>
      <c r="C101" s="18">
        <v>0.36666666666666664</v>
      </c>
      <c r="D101" s="18"/>
      <c r="E101" s="18"/>
      <c r="F101" s="18"/>
      <c r="G101" s="18"/>
      <c r="H101" s="18"/>
      <c r="I101" s="18"/>
      <c r="J101" s="18">
        <v>0.36666666666666664</v>
      </c>
    </row>
    <row r="102" spans="1:10" x14ac:dyDescent="0.3">
      <c r="A102" s="16" t="s">
        <v>27</v>
      </c>
      <c r="B102" s="18">
        <v>0.31111111111111112</v>
      </c>
      <c r="C102" s="18">
        <v>0.42222222222222222</v>
      </c>
      <c r="D102" s="18"/>
      <c r="E102" s="18"/>
      <c r="F102" s="18"/>
      <c r="G102" s="18"/>
      <c r="H102" s="18"/>
      <c r="I102" s="18"/>
      <c r="J102" s="18">
        <v>0.3666666666666667</v>
      </c>
    </row>
    <row r="103" spans="1:10" x14ac:dyDescent="0.3">
      <c r="A103" s="16" t="s">
        <v>47</v>
      </c>
      <c r="B103" s="18">
        <v>0.5</v>
      </c>
      <c r="C103" s="18">
        <v>0.33333333333333331</v>
      </c>
      <c r="D103" s="18">
        <v>0.28888888888888886</v>
      </c>
      <c r="E103" s="18">
        <v>0.48888888888888887</v>
      </c>
      <c r="F103" s="18">
        <v>0.3888888888888889</v>
      </c>
      <c r="G103" s="18">
        <v>0.41111111111111109</v>
      </c>
      <c r="H103" s="18"/>
      <c r="I103" s="18"/>
      <c r="J103" s="18">
        <v>0.40185185185185185</v>
      </c>
    </row>
    <row r="104" spans="1:10" x14ac:dyDescent="0.3">
      <c r="A104" s="16" t="s">
        <v>15</v>
      </c>
      <c r="B104" s="18">
        <v>0.6333333333333333</v>
      </c>
      <c r="C104" s="18">
        <v>0.41111111111111109</v>
      </c>
      <c r="D104" s="18">
        <v>0.3888888888888889</v>
      </c>
      <c r="E104" s="18">
        <v>0.41111111111111109</v>
      </c>
      <c r="F104" s="18">
        <v>0.51111111111111107</v>
      </c>
      <c r="G104" s="18">
        <v>0.51111111111111107</v>
      </c>
      <c r="H104" s="18">
        <v>0.43333333333333335</v>
      </c>
      <c r="I104" s="18">
        <v>0.6333333333333333</v>
      </c>
      <c r="J104" s="18">
        <v>0.49166666666666664</v>
      </c>
    </row>
    <row r="105" spans="1:10" x14ac:dyDescent="0.3">
      <c r="A105" s="16" t="s">
        <v>114</v>
      </c>
      <c r="B105" s="18"/>
      <c r="C105" s="18"/>
      <c r="D105" s="18"/>
      <c r="E105" s="18"/>
      <c r="F105" s="18"/>
      <c r="G105" s="18">
        <v>0.67777777777777781</v>
      </c>
      <c r="H105" s="18">
        <v>0.48888888888888887</v>
      </c>
      <c r="I105" s="18">
        <v>0.3888888888888889</v>
      </c>
      <c r="J105" s="18">
        <v>0.51851851851851849</v>
      </c>
    </row>
    <row r="106" spans="1:10" x14ac:dyDescent="0.3">
      <c r="A106" s="16" t="s">
        <v>141</v>
      </c>
      <c r="B106" s="18">
        <v>0.21176470588235294</v>
      </c>
      <c r="C106" s="18">
        <v>0.22091503267973855</v>
      </c>
      <c r="D106" s="18">
        <v>0.19999999999999998</v>
      </c>
      <c r="E106" s="18">
        <v>0.18648648648648644</v>
      </c>
      <c r="F106" s="18">
        <v>0.17623456790123457</v>
      </c>
      <c r="G106" s="18">
        <v>0.17845117845117844</v>
      </c>
      <c r="H106" s="18">
        <v>0.19409722222222225</v>
      </c>
      <c r="I106" s="18">
        <v>0.16481481481481486</v>
      </c>
      <c r="J106" s="18">
        <v>0.19126409017713378</v>
      </c>
    </row>
  </sheetData>
  <conditionalFormatting pivot="1" sqref="B5:B105">
    <cfRule type="top10" dxfId="61" priority="9" percent="1" rank="10"/>
  </conditionalFormatting>
  <conditionalFormatting pivot="1" sqref="C5:C105">
    <cfRule type="top10" dxfId="60" priority="8" percent="1" rank="10"/>
  </conditionalFormatting>
  <conditionalFormatting pivot="1" sqref="D5:D105">
    <cfRule type="top10" dxfId="59" priority="7" percent="1" rank="10"/>
  </conditionalFormatting>
  <conditionalFormatting pivot="1" sqref="E5:E105">
    <cfRule type="top10" dxfId="58" priority="6" percent="1" rank="10"/>
  </conditionalFormatting>
  <conditionalFormatting pivot="1" sqref="F5:F105">
    <cfRule type="top10" dxfId="57" priority="5" percent="1" rank="10"/>
  </conditionalFormatting>
  <conditionalFormatting pivot="1" sqref="G5:G105">
    <cfRule type="top10" dxfId="56" priority="4" percent="1" rank="10"/>
  </conditionalFormatting>
  <conditionalFormatting pivot="1" sqref="H5:H105">
    <cfRule type="top10" dxfId="55" priority="3" percent="1" rank="10"/>
  </conditionalFormatting>
  <conditionalFormatting pivot="1" sqref="I5:I105">
    <cfRule type="top10" dxfId="54" priority="2" percent="1" rank="10"/>
  </conditionalFormatting>
  <conditionalFormatting pivot="1" sqref="J5:J105">
    <cfRule type="top10" dxfId="53" priority="1" percent="1" rank="1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93A70-EAE8-489C-8B26-4CE4C49D4659}">
  <dimension ref="A3:J106"/>
  <sheetViews>
    <sheetView topLeftCell="A81" workbookViewId="0">
      <selection activeCell="K94" sqref="K94"/>
    </sheetView>
  </sheetViews>
  <sheetFormatPr defaultRowHeight="14.4" x14ac:dyDescent="0.3"/>
  <cols>
    <col min="1" max="1" width="25.6640625" style="15" bestFit="1" customWidth="1"/>
    <col min="2" max="2" width="16.88671875" style="15" bestFit="1" customWidth="1"/>
    <col min="3" max="9" width="8.33203125" style="15" bestFit="1" customWidth="1"/>
    <col min="10" max="10" width="11.5546875" style="15" bestFit="1" customWidth="1"/>
    <col min="11" max="11" width="19.77734375" style="15" bestFit="1" customWidth="1"/>
    <col min="12" max="12" width="19.44140625" style="15" bestFit="1" customWidth="1"/>
    <col min="13" max="13" width="19.77734375" style="15" bestFit="1" customWidth="1"/>
    <col min="14" max="14" width="19.44140625" style="15" bestFit="1" customWidth="1"/>
    <col min="15" max="15" width="19.77734375" style="15" bestFit="1" customWidth="1"/>
    <col min="16" max="16" width="19.44140625" style="15" bestFit="1" customWidth="1"/>
    <col min="17" max="17" width="19.77734375" style="15" bestFit="1" customWidth="1"/>
    <col min="18" max="18" width="24.21875" style="15" bestFit="1" customWidth="1"/>
    <col min="19" max="19" width="24.5546875" style="15" bestFit="1" customWidth="1"/>
    <col min="20" max="20" width="12" style="15" bestFit="1" customWidth="1"/>
    <col min="21" max="21" width="5.5546875" style="15" bestFit="1" customWidth="1"/>
    <col min="22" max="22" width="7" style="15" bestFit="1" customWidth="1"/>
    <col min="23" max="23" width="12.33203125" style="15" bestFit="1" customWidth="1"/>
    <col min="24" max="24" width="9.6640625" style="15" bestFit="1" customWidth="1"/>
    <col min="25" max="25" width="12" style="15" bestFit="1" customWidth="1"/>
    <col min="26" max="27" width="5.5546875" style="15" bestFit="1" customWidth="1"/>
    <col min="28" max="28" width="7" style="15" bestFit="1" customWidth="1"/>
    <col min="29" max="29" width="12.33203125" style="15" bestFit="1" customWidth="1"/>
    <col min="30" max="30" width="9.6640625" style="15" bestFit="1" customWidth="1"/>
    <col min="31" max="31" width="5.5546875" style="15" bestFit="1" customWidth="1"/>
    <col min="32" max="32" width="12" style="15" bestFit="1" customWidth="1"/>
    <col min="33" max="33" width="5.5546875" style="15" bestFit="1" customWidth="1"/>
    <col min="34" max="34" width="6" style="15" bestFit="1" customWidth="1"/>
    <col min="35" max="35" width="5.5546875" style="15" bestFit="1" customWidth="1"/>
    <col min="36" max="36" width="7" style="15" bestFit="1" customWidth="1"/>
    <col min="37" max="37" width="12.33203125" style="15" bestFit="1" customWidth="1"/>
    <col min="38" max="38" width="12" style="15" bestFit="1" customWidth="1"/>
    <col min="39" max="39" width="5.5546875" style="15" bestFit="1" customWidth="1"/>
    <col min="40" max="40" width="12" style="15" bestFit="1" customWidth="1"/>
    <col min="41" max="41" width="5.5546875" style="15" bestFit="1" customWidth="1"/>
    <col min="42" max="42" width="7" style="15" bestFit="1" customWidth="1"/>
    <col min="43" max="43" width="12.33203125" style="15" bestFit="1" customWidth="1"/>
    <col min="44" max="44" width="9.6640625" style="15" bestFit="1" customWidth="1"/>
    <col min="45" max="47" width="5.5546875" style="15" bestFit="1" customWidth="1"/>
    <col min="48" max="48" width="7" style="15" bestFit="1" customWidth="1"/>
    <col min="49" max="49" width="12.33203125" style="15" bestFit="1" customWidth="1"/>
    <col min="50" max="50" width="9.6640625" style="15" bestFit="1" customWidth="1"/>
    <col min="51" max="51" width="5.5546875" style="15" bestFit="1" customWidth="1"/>
    <col min="52" max="52" width="6" style="15" bestFit="1" customWidth="1"/>
    <col min="53" max="53" width="12" style="15" bestFit="1" customWidth="1"/>
    <col min="54" max="54" width="5.5546875" style="15" bestFit="1" customWidth="1"/>
    <col min="55" max="55" width="12" style="15" bestFit="1" customWidth="1"/>
    <col min="56" max="56" width="5.5546875" style="15" bestFit="1" customWidth="1"/>
    <col min="57" max="57" width="7" style="15" bestFit="1" customWidth="1"/>
    <col min="58" max="58" width="12.33203125" style="15" bestFit="1" customWidth="1"/>
    <col min="59" max="59" width="10.77734375" style="15" bestFit="1" customWidth="1"/>
    <col min="60" max="16384" width="8.88671875" style="15"/>
  </cols>
  <sheetData>
    <row r="3" spans="1:10" x14ac:dyDescent="0.3">
      <c r="A3" s="14" t="s">
        <v>146</v>
      </c>
      <c r="B3" s="14" t="s">
        <v>142</v>
      </c>
    </row>
    <row r="4" spans="1:10" x14ac:dyDescent="0.3">
      <c r="A4" s="14" t="s">
        <v>140</v>
      </c>
      <c r="B4" s="15" t="s">
        <v>12</v>
      </c>
      <c r="C4" s="15" t="s">
        <v>53</v>
      </c>
      <c r="D4" s="15" t="s">
        <v>76</v>
      </c>
      <c r="E4" s="15" t="s">
        <v>88</v>
      </c>
      <c r="F4" s="15" t="s">
        <v>99</v>
      </c>
      <c r="G4" s="15" t="s">
        <v>107</v>
      </c>
      <c r="H4" s="15" t="s">
        <v>119</v>
      </c>
      <c r="I4" s="15" t="s">
        <v>128</v>
      </c>
      <c r="J4" s="15" t="s">
        <v>141</v>
      </c>
    </row>
    <row r="5" spans="1:10" x14ac:dyDescent="0.3">
      <c r="A5" s="16" t="s">
        <v>45</v>
      </c>
      <c r="B5" s="18">
        <v>8.6956521739130436E-3</v>
      </c>
      <c r="C5" s="18"/>
      <c r="D5" s="18"/>
      <c r="E5" s="18"/>
      <c r="F5" s="18"/>
      <c r="G5" s="18"/>
      <c r="H5" s="18"/>
      <c r="I5" s="18"/>
      <c r="J5" s="18">
        <v>8.6956521739130436E-3</v>
      </c>
    </row>
    <row r="6" spans="1:10" x14ac:dyDescent="0.3">
      <c r="A6" s="16" t="s">
        <v>79</v>
      </c>
      <c r="B6" s="18"/>
      <c r="C6" s="18"/>
      <c r="D6" s="18">
        <v>9.6153846153846159E-3</v>
      </c>
      <c r="E6" s="18"/>
      <c r="F6" s="18"/>
      <c r="G6" s="18"/>
      <c r="H6" s="18"/>
      <c r="I6" s="18"/>
      <c r="J6" s="18">
        <v>9.6153846153846159E-3</v>
      </c>
    </row>
    <row r="7" spans="1:10" x14ac:dyDescent="0.3">
      <c r="A7" s="16" t="s">
        <v>61</v>
      </c>
      <c r="B7" s="18"/>
      <c r="C7" s="18">
        <v>1.0309278350515464E-2</v>
      </c>
      <c r="D7" s="18"/>
      <c r="E7" s="18"/>
      <c r="F7" s="18"/>
      <c r="G7" s="18"/>
      <c r="H7" s="18"/>
      <c r="I7" s="18"/>
      <c r="J7" s="18">
        <v>1.0309278350515464E-2</v>
      </c>
    </row>
    <row r="8" spans="1:10" x14ac:dyDescent="0.3">
      <c r="A8" s="16" t="s">
        <v>120</v>
      </c>
      <c r="B8" s="18"/>
      <c r="C8" s="18"/>
      <c r="D8" s="18"/>
      <c r="E8" s="18"/>
      <c r="F8" s="18"/>
      <c r="G8" s="18"/>
      <c r="H8" s="18">
        <v>1.5267175572519083E-2</v>
      </c>
      <c r="I8" s="18">
        <v>7.6335877862595417E-3</v>
      </c>
      <c r="J8" s="18">
        <v>1.1450381679389313E-2</v>
      </c>
    </row>
    <row r="9" spans="1:10" x14ac:dyDescent="0.3">
      <c r="A9" s="16" t="s">
        <v>19</v>
      </c>
      <c r="B9" s="18">
        <v>1.4492753623188406E-2</v>
      </c>
      <c r="C9" s="18"/>
      <c r="D9" s="18"/>
      <c r="E9" s="18"/>
      <c r="F9" s="18"/>
      <c r="G9" s="18"/>
      <c r="H9" s="18"/>
      <c r="I9" s="18"/>
      <c r="J9" s="18">
        <v>1.4492753623188406E-2</v>
      </c>
    </row>
    <row r="10" spans="1:10" x14ac:dyDescent="0.3">
      <c r="A10" s="16" t="s">
        <v>129</v>
      </c>
      <c r="B10" s="18"/>
      <c r="C10" s="18"/>
      <c r="D10" s="18"/>
      <c r="E10" s="18"/>
      <c r="F10" s="18"/>
      <c r="G10" s="18"/>
      <c r="H10" s="18"/>
      <c r="I10" s="18">
        <v>2.2900763358778626E-2</v>
      </c>
      <c r="J10" s="18">
        <v>2.2900763358778626E-2</v>
      </c>
    </row>
    <row r="11" spans="1:10" x14ac:dyDescent="0.3">
      <c r="A11" s="16" t="s">
        <v>122</v>
      </c>
      <c r="B11" s="18"/>
      <c r="C11" s="18"/>
      <c r="D11" s="18"/>
      <c r="E11" s="18"/>
      <c r="F11" s="18"/>
      <c r="G11" s="18"/>
      <c r="H11" s="18">
        <v>2.3255813953488372E-2</v>
      </c>
      <c r="I11" s="18"/>
      <c r="J11" s="18">
        <v>2.3255813953488372E-2</v>
      </c>
    </row>
    <row r="12" spans="1:10" x14ac:dyDescent="0.3">
      <c r="A12" s="16" t="s">
        <v>31</v>
      </c>
      <c r="B12" s="18">
        <v>2.4390243902439025E-2</v>
      </c>
      <c r="C12" s="18"/>
      <c r="D12" s="18"/>
      <c r="E12" s="18"/>
      <c r="F12" s="18"/>
      <c r="G12" s="18"/>
      <c r="H12" s="18"/>
      <c r="I12" s="18"/>
      <c r="J12" s="18">
        <v>2.4390243902439025E-2</v>
      </c>
    </row>
    <row r="13" spans="1:10" x14ac:dyDescent="0.3">
      <c r="A13" s="16" t="s">
        <v>110</v>
      </c>
      <c r="B13" s="18"/>
      <c r="C13" s="18"/>
      <c r="D13" s="18"/>
      <c r="E13" s="18"/>
      <c r="F13" s="18"/>
      <c r="G13" s="18">
        <v>2.5423728813559324E-2</v>
      </c>
      <c r="H13" s="18"/>
      <c r="I13" s="18"/>
      <c r="J13" s="18">
        <v>2.5423728813559324E-2</v>
      </c>
    </row>
    <row r="14" spans="1:10" x14ac:dyDescent="0.3">
      <c r="A14" s="16" t="s">
        <v>77</v>
      </c>
      <c r="B14" s="18"/>
      <c r="C14" s="18"/>
      <c r="D14" s="18">
        <v>2.8846153846153848E-2</v>
      </c>
      <c r="E14" s="18"/>
      <c r="F14" s="18"/>
      <c r="G14" s="18"/>
      <c r="H14" s="18"/>
      <c r="I14" s="18"/>
      <c r="J14" s="18">
        <v>2.8846153846153848E-2</v>
      </c>
    </row>
    <row r="15" spans="1:10" x14ac:dyDescent="0.3">
      <c r="A15" s="16" t="s">
        <v>124</v>
      </c>
      <c r="B15" s="18"/>
      <c r="C15" s="18"/>
      <c r="D15" s="18"/>
      <c r="E15" s="18"/>
      <c r="F15" s="18"/>
      <c r="G15" s="18"/>
      <c r="H15" s="18">
        <v>2.9411764705882353E-2</v>
      </c>
      <c r="I15" s="18"/>
      <c r="J15" s="18">
        <v>2.9411764705882353E-2</v>
      </c>
    </row>
    <row r="16" spans="1:10" x14ac:dyDescent="0.3">
      <c r="A16" s="16" t="s">
        <v>62</v>
      </c>
      <c r="B16" s="18"/>
      <c r="C16" s="18">
        <v>3.1746031746031744E-2</v>
      </c>
      <c r="D16" s="18"/>
      <c r="E16" s="18"/>
      <c r="F16" s="18"/>
      <c r="G16" s="18"/>
      <c r="H16" s="18"/>
      <c r="I16" s="18"/>
      <c r="J16" s="18">
        <v>3.1746031746031744E-2</v>
      </c>
    </row>
    <row r="17" spans="1:10" x14ac:dyDescent="0.3">
      <c r="A17" s="16" t="s">
        <v>78</v>
      </c>
      <c r="B17" s="18"/>
      <c r="C17" s="18"/>
      <c r="D17" s="18">
        <v>3.8461538461538464E-2</v>
      </c>
      <c r="E17" s="18"/>
      <c r="F17" s="18"/>
      <c r="G17" s="18"/>
      <c r="H17" s="18"/>
      <c r="I17" s="18"/>
      <c r="J17" s="18">
        <v>3.8461538461538464E-2</v>
      </c>
    </row>
    <row r="18" spans="1:10" x14ac:dyDescent="0.3">
      <c r="A18" s="16" t="s">
        <v>58</v>
      </c>
      <c r="B18" s="18"/>
      <c r="C18" s="18">
        <v>4.065040650406504E-2</v>
      </c>
      <c r="D18" s="18"/>
      <c r="E18" s="18"/>
      <c r="F18" s="18"/>
      <c r="G18" s="18"/>
      <c r="H18" s="18"/>
      <c r="I18" s="18"/>
      <c r="J18" s="18">
        <v>4.065040650406504E-2</v>
      </c>
    </row>
    <row r="19" spans="1:10" x14ac:dyDescent="0.3">
      <c r="A19" s="16" t="s">
        <v>98</v>
      </c>
      <c r="B19" s="18"/>
      <c r="C19" s="18"/>
      <c r="D19" s="18"/>
      <c r="E19" s="18">
        <v>3.2520325203252036E-2</v>
      </c>
      <c r="F19" s="18">
        <v>4.9019607843137254E-2</v>
      </c>
      <c r="G19" s="18"/>
      <c r="H19" s="18"/>
      <c r="I19" s="18"/>
      <c r="J19" s="18">
        <v>4.0769966523194645E-2</v>
      </c>
    </row>
    <row r="20" spans="1:10" x14ac:dyDescent="0.3">
      <c r="A20" s="16" t="s">
        <v>138</v>
      </c>
      <c r="B20" s="18"/>
      <c r="C20" s="18"/>
      <c r="D20" s="18"/>
      <c r="E20" s="18"/>
      <c r="F20" s="18"/>
      <c r="G20" s="18"/>
      <c r="H20" s="18"/>
      <c r="I20" s="18">
        <v>4.6875E-2</v>
      </c>
      <c r="J20" s="18">
        <v>4.6875E-2</v>
      </c>
    </row>
    <row r="21" spans="1:10" x14ac:dyDescent="0.3">
      <c r="A21" s="16" t="s">
        <v>18</v>
      </c>
      <c r="B21" s="18">
        <v>4.3478260869565216E-2</v>
      </c>
      <c r="C21" s="18">
        <v>5.8823529411764705E-2</v>
      </c>
      <c r="D21" s="18"/>
      <c r="E21" s="18"/>
      <c r="F21" s="18"/>
      <c r="G21" s="18"/>
      <c r="H21" s="18"/>
      <c r="I21" s="18"/>
      <c r="J21" s="18">
        <v>5.1150895140664961E-2</v>
      </c>
    </row>
    <row r="22" spans="1:10" x14ac:dyDescent="0.3">
      <c r="A22" s="16" t="s">
        <v>87</v>
      </c>
      <c r="B22" s="18"/>
      <c r="C22" s="18"/>
      <c r="D22" s="18">
        <v>6.0606060606060608E-2</v>
      </c>
      <c r="E22" s="18"/>
      <c r="F22" s="18"/>
      <c r="G22" s="18"/>
      <c r="H22" s="18"/>
      <c r="I22" s="18"/>
      <c r="J22" s="18">
        <v>6.0606060606060608E-2</v>
      </c>
    </row>
    <row r="23" spans="1:10" x14ac:dyDescent="0.3">
      <c r="A23" s="16" t="s">
        <v>52</v>
      </c>
      <c r="B23" s="18"/>
      <c r="C23" s="18">
        <v>7.8431372549019607E-2</v>
      </c>
      <c r="D23" s="18">
        <v>7.6923076923076927E-2</v>
      </c>
      <c r="E23" s="18">
        <v>2.9411764705882353E-2</v>
      </c>
      <c r="F23" s="18">
        <v>6.2068965517241378E-2</v>
      </c>
      <c r="G23" s="18"/>
      <c r="H23" s="18"/>
      <c r="I23" s="18"/>
      <c r="J23" s="18">
        <v>6.1708794923805071E-2</v>
      </c>
    </row>
    <row r="24" spans="1:10" x14ac:dyDescent="0.3">
      <c r="A24" s="16" t="s">
        <v>90</v>
      </c>
      <c r="B24" s="18"/>
      <c r="C24" s="18"/>
      <c r="D24" s="18"/>
      <c r="E24" s="18">
        <v>5.8823529411764705E-2</v>
      </c>
      <c r="F24" s="18">
        <v>7.586206896551724E-2</v>
      </c>
      <c r="G24" s="18"/>
      <c r="H24" s="18"/>
      <c r="I24" s="18"/>
      <c r="J24" s="18">
        <v>6.7342799188640973E-2</v>
      </c>
    </row>
    <row r="25" spans="1:10" x14ac:dyDescent="0.3">
      <c r="A25" s="16" t="s">
        <v>44</v>
      </c>
      <c r="B25" s="18">
        <v>6.9565217391304349E-2</v>
      </c>
      <c r="C25" s="18"/>
      <c r="D25" s="18"/>
      <c r="E25" s="18"/>
      <c r="F25" s="18"/>
      <c r="G25" s="18"/>
      <c r="H25" s="18"/>
      <c r="I25" s="18"/>
      <c r="J25" s="18">
        <v>6.9565217391304349E-2</v>
      </c>
    </row>
    <row r="26" spans="1:10" x14ac:dyDescent="0.3">
      <c r="A26" s="16" t="s">
        <v>134</v>
      </c>
      <c r="B26" s="18"/>
      <c r="C26" s="18"/>
      <c r="D26" s="18"/>
      <c r="E26" s="18"/>
      <c r="F26" s="18"/>
      <c r="G26" s="18"/>
      <c r="H26" s="18"/>
      <c r="I26" s="18">
        <v>6.9767441860465115E-2</v>
      </c>
      <c r="J26" s="18">
        <v>6.9767441860465115E-2</v>
      </c>
    </row>
    <row r="27" spans="1:10" x14ac:dyDescent="0.3">
      <c r="A27" s="16" t="s">
        <v>54</v>
      </c>
      <c r="B27" s="18"/>
      <c r="C27" s="18">
        <v>0.10204081632653061</v>
      </c>
      <c r="D27" s="18"/>
      <c r="E27" s="18">
        <v>4.065040650406504E-2</v>
      </c>
      <c r="F27" s="18"/>
      <c r="G27" s="18"/>
      <c r="H27" s="18"/>
      <c r="I27" s="18"/>
      <c r="J27" s="18">
        <v>7.1345611415297827E-2</v>
      </c>
    </row>
    <row r="28" spans="1:10" x14ac:dyDescent="0.3">
      <c r="A28" s="16" t="s">
        <v>81</v>
      </c>
      <c r="B28" s="18"/>
      <c r="C28" s="18"/>
      <c r="D28" s="18">
        <v>7.8947368421052627E-2</v>
      </c>
      <c r="E28" s="18"/>
      <c r="F28" s="18"/>
      <c r="G28" s="18">
        <v>6.3829787234042548E-2</v>
      </c>
      <c r="H28" s="18"/>
      <c r="I28" s="18"/>
      <c r="J28" s="18">
        <v>7.1388577827547595E-2</v>
      </c>
    </row>
    <row r="29" spans="1:10" x14ac:dyDescent="0.3">
      <c r="A29" s="16" t="s">
        <v>116</v>
      </c>
      <c r="B29" s="18"/>
      <c r="C29" s="18"/>
      <c r="D29" s="18"/>
      <c r="E29" s="18"/>
      <c r="F29" s="18"/>
      <c r="G29" s="18">
        <v>7.1428571428571425E-2</v>
      </c>
      <c r="H29" s="18"/>
      <c r="I29" s="18"/>
      <c r="J29" s="18">
        <v>7.1428571428571425E-2</v>
      </c>
    </row>
    <row r="30" spans="1:10" x14ac:dyDescent="0.3">
      <c r="A30" s="16" t="s">
        <v>95</v>
      </c>
      <c r="B30" s="18"/>
      <c r="C30" s="18"/>
      <c r="D30" s="18"/>
      <c r="E30" s="18">
        <v>0.125</v>
      </c>
      <c r="F30" s="18">
        <v>2.7586206896551724E-2</v>
      </c>
      <c r="G30" s="18"/>
      <c r="H30" s="18"/>
      <c r="I30" s="18"/>
      <c r="J30" s="18">
        <v>7.6293103448275862E-2</v>
      </c>
    </row>
    <row r="31" spans="1:10" x14ac:dyDescent="0.3">
      <c r="A31" s="16" t="s">
        <v>133</v>
      </c>
      <c r="B31" s="18"/>
      <c r="C31" s="18"/>
      <c r="D31" s="18"/>
      <c r="E31" s="18"/>
      <c r="F31" s="18"/>
      <c r="G31" s="18"/>
      <c r="H31" s="18"/>
      <c r="I31" s="18">
        <v>8.1395348837209308E-2</v>
      </c>
      <c r="J31" s="18">
        <v>8.1395348837209308E-2</v>
      </c>
    </row>
    <row r="32" spans="1:10" x14ac:dyDescent="0.3">
      <c r="A32" s="16" t="s">
        <v>25</v>
      </c>
      <c r="B32" s="18">
        <v>5.5555555555555552E-2</v>
      </c>
      <c r="C32" s="18">
        <v>1.0416666666666666E-2</v>
      </c>
      <c r="D32" s="18">
        <v>5.2631578947368418E-2</v>
      </c>
      <c r="E32" s="18">
        <v>8.8607594936708861E-2</v>
      </c>
      <c r="F32" s="18">
        <v>0.16923076923076924</v>
      </c>
      <c r="G32" s="18">
        <v>0.11702127659574468</v>
      </c>
      <c r="H32" s="18">
        <v>8.0357142857142863E-2</v>
      </c>
      <c r="I32" s="18"/>
      <c r="J32" s="18">
        <v>8.1974369255708043E-2</v>
      </c>
    </row>
    <row r="33" spans="1:10" x14ac:dyDescent="0.3">
      <c r="A33" s="16" t="s">
        <v>102</v>
      </c>
      <c r="B33" s="18"/>
      <c r="C33" s="18"/>
      <c r="D33" s="18"/>
      <c r="E33" s="18"/>
      <c r="F33" s="18">
        <v>6.8965517241379309E-2</v>
      </c>
      <c r="G33" s="18">
        <v>0.11510791366906475</v>
      </c>
      <c r="H33" s="18">
        <v>5.8823529411764705E-2</v>
      </c>
      <c r="I33" s="18">
        <v>0.10126582278481013</v>
      </c>
      <c r="J33" s="18">
        <v>8.6040695776754716E-2</v>
      </c>
    </row>
    <row r="34" spans="1:10" x14ac:dyDescent="0.3">
      <c r="A34" s="16" t="s">
        <v>41</v>
      </c>
      <c r="B34" s="18">
        <v>8.6956521739130432E-2</v>
      </c>
      <c r="C34" s="18"/>
      <c r="D34" s="18"/>
      <c r="E34" s="18"/>
      <c r="F34" s="18"/>
      <c r="G34" s="18"/>
      <c r="H34" s="18"/>
      <c r="I34" s="18"/>
      <c r="J34" s="18">
        <v>8.6956521739130432E-2</v>
      </c>
    </row>
    <row r="35" spans="1:10" x14ac:dyDescent="0.3">
      <c r="A35" s="16" t="s">
        <v>85</v>
      </c>
      <c r="B35" s="18"/>
      <c r="C35" s="18"/>
      <c r="D35" s="18">
        <v>0.10101010101010101</v>
      </c>
      <c r="E35" s="18">
        <v>7.6086956521739135E-2</v>
      </c>
      <c r="F35" s="18"/>
      <c r="G35" s="18"/>
      <c r="H35" s="18"/>
      <c r="I35" s="18"/>
      <c r="J35" s="18">
        <v>8.8548528765920065E-2</v>
      </c>
    </row>
    <row r="36" spans="1:10" x14ac:dyDescent="0.3">
      <c r="A36" s="16" t="s">
        <v>126</v>
      </c>
      <c r="B36" s="18"/>
      <c r="C36" s="18"/>
      <c r="D36" s="18"/>
      <c r="E36" s="18"/>
      <c r="F36" s="18"/>
      <c r="G36" s="18"/>
      <c r="H36" s="18">
        <v>9.2592592592592587E-2</v>
      </c>
      <c r="I36" s="18"/>
      <c r="J36" s="18">
        <v>9.2592592592592587E-2</v>
      </c>
    </row>
    <row r="37" spans="1:10" x14ac:dyDescent="0.3">
      <c r="A37" s="16" t="s">
        <v>50</v>
      </c>
      <c r="B37" s="18">
        <v>5.3097345132743362E-2</v>
      </c>
      <c r="C37" s="18">
        <v>0.1326530612244898</v>
      </c>
      <c r="D37" s="18"/>
      <c r="E37" s="18"/>
      <c r="F37" s="18"/>
      <c r="G37" s="18"/>
      <c r="H37" s="18"/>
      <c r="I37" s="18"/>
      <c r="J37" s="18">
        <v>9.2875203178616583E-2</v>
      </c>
    </row>
    <row r="38" spans="1:10" x14ac:dyDescent="0.3">
      <c r="A38" s="16" t="s">
        <v>131</v>
      </c>
      <c r="B38" s="18"/>
      <c r="C38" s="18"/>
      <c r="D38" s="18"/>
      <c r="E38" s="18"/>
      <c r="F38" s="18"/>
      <c r="G38" s="18"/>
      <c r="H38" s="18"/>
      <c r="I38" s="18">
        <v>9.3220338983050849E-2</v>
      </c>
      <c r="J38" s="18">
        <v>9.3220338983050849E-2</v>
      </c>
    </row>
    <row r="39" spans="1:10" x14ac:dyDescent="0.3">
      <c r="A39" s="16" t="s">
        <v>51</v>
      </c>
      <c r="B39" s="18">
        <v>4.4247787610619468E-2</v>
      </c>
      <c r="C39" s="18">
        <v>0.16326530612244897</v>
      </c>
      <c r="D39" s="18">
        <v>8.4337349397590355E-2</v>
      </c>
      <c r="E39" s="18">
        <v>0.12195121951219512</v>
      </c>
      <c r="F39" s="18">
        <v>0.13725490196078433</v>
      </c>
      <c r="G39" s="18">
        <v>1.3513513513513514E-2</v>
      </c>
      <c r="H39" s="18"/>
      <c r="I39" s="18"/>
      <c r="J39" s="18">
        <v>9.4095013019525289E-2</v>
      </c>
    </row>
    <row r="40" spans="1:10" x14ac:dyDescent="0.3">
      <c r="A40" s="16" t="s">
        <v>59</v>
      </c>
      <c r="B40" s="18"/>
      <c r="C40" s="18">
        <v>8.1300813008130079E-2</v>
      </c>
      <c r="D40" s="18">
        <v>9.6774193548387094E-2</v>
      </c>
      <c r="E40" s="18">
        <v>0.10309278350515463</v>
      </c>
      <c r="F40" s="18">
        <v>0.109375</v>
      </c>
      <c r="G40" s="18"/>
      <c r="H40" s="18"/>
      <c r="I40" s="18"/>
      <c r="J40" s="18">
        <v>9.7635697515417952E-2</v>
      </c>
    </row>
    <row r="41" spans="1:10" x14ac:dyDescent="0.3">
      <c r="A41" s="16" t="s">
        <v>105</v>
      </c>
      <c r="B41" s="18"/>
      <c r="C41" s="18"/>
      <c r="D41" s="18"/>
      <c r="E41" s="18"/>
      <c r="F41" s="18">
        <v>0.1</v>
      </c>
      <c r="G41" s="18"/>
      <c r="H41" s="18"/>
      <c r="I41" s="18"/>
      <c r="J41" s="18">
        <v>0.1</v>
      </c>
    </row>
    <row r="42" spans="1:10" x14ac:dyDescent="0.3">
      <c r="A42" s="16" t="s">
        <v>100</v>
      </c>
      <c r="B42" s="18"/>
      <c r="C42" s="18"/>
      <c r="D42" s="18"/>
      <c r="E42" s="18"/>
      <c r="F42" s="18">
        <v>6.8965517241379309E-2</v>
      </c>
      <c r="G42" s="18">
        <v>5.9322033898305086E-2</v>
      </c>
      <c r="H42" s="18">
        <v>0.13740458015267176</v>
      </c>
      <c r="I42" s="18">
        <v>0.16793893129770993</v>
      </c>
      <c r="J42" s="18">
        <v>0.10840776564751652</v>
      </c>
    </row>
    <row r="43" spans="1:10" x14ac:dyDescent="0.3">
      <c r="A43" s="16" t="s">
        <v>30</v>
      </c>
      <c r="B43" s="18">
        <v>0.13414634146341464</v>
      </c>
      <c r="C43" s="18"/>
      <c r="D43" s="18">
        <v>8.6021505376344093E-2</v>
      </c>
      <c r="E43" s="18"/>
      <c r="F43" s="18"/>
      <c r="G43" s="18"/>
      <c r="H43" s="18"/>
      <c r="I43" s="18"/>
      <c r="J43" s="18">
        <v>0.11008392341987937</v>
      </c>
    </row>
    <row r="44" spans="1:10" x14ac:dyDescent="0.3">
      <c r="A44" s="16" t="s">
        <v>24</v>
      </c>
      <c r="B44" s="18">
        <v>0.1111111111111111</v>
      </c>
      <c r="C44" s="18"/>
      <c r="D44" s="18"/>
      <c r="E44" s="18"/>
      <c r="F44" s="18"/>
      <c r="G44" s="18"/>
      <c r="H44" s="18"/>
      <c r="I44" s="18"/>
      <c r="J44" s="18">
        <v>0.1111111111111111</v>
      </c>
    </row>
    <row r="45" spans="1:10" x14ac:dyDescent="0.3">
      <c r="A45" s="16" t="s">
        <v>136</v>
      </c>
      <c r="B45" s="18"/>
      <c r="C45" s="18"/>
      <c r="D45" s="18"/>
      <c r="E45" s="18"/>
      <c r="F45" s="18"/>
      <c r="G45" s="18"/>
      <c r="H45" s="18"/>
      <c r="I45" s="18">
        <v>0.11392405063291139</v>
      </c>
      <c r="J45" s="18">
        <v>0.11392405063291139</v>
      </c>
    </row>
    <row r="46" spans="1:10" x14ac:dyDescent="0.3">
      <c r="A46" s="16" t="s">
        <v>112</v>
      </c>
      <c r="B46" s="18"/>
      <c r="C46" s="18"/>
      <c r="D46" s="18"/>
      <c r="E46" s="18"/>
      <c r="F46" s="18"/>
      <c r="G46" s="18">
        <v>0.11428571428571428</v>
      </c>
      <c r="H46" s="18"/>
      <c r="I46" s="18"/>
      <c r="J46" s="18">
        <v>0.11428571428571428</v>
      </c>
    </row>
    <row r="47" spans="1:10" x14ac:dyDescent="0.3">
      <c r="A47" s="16" t="s">
        <v>113</v>
      </c>
      <c r="B47" s="18"/>
      <c r="C47" s="18"/>
      <c r="D47" s="18"/>
      <c r="E47" s="18"/>
      <c r="F47" s="18"/>
      <c r="G47" s="18">
        <v>0.11428571428571428</v>
      </c>
      <c r="H47" s="18"/>
      <c r="I47" s="18"/>
      <c r="J47" s="18">
        <v>0.11428571428571428</v>
      </c>
    </row>
    <row r="48" spans="1:10" x14ac:dyDescent="0.3">
      <c r="A48" s="16" t="s">
        <v>17</v>
      </c>
      <c r="B48" s="18">
        <v>1.4492753623188406E-2</v>
      </c>
      <c r="C48" s="18"/>
      <c r="D48" s="18"/>
      <c r="E48" s="18"/>
      <c r="F48" s="18"/>
      <c r="G48" s="18"/>
      <c r="H48" s="18"/>
      <c r="I48" s="18">
        <v>0.21428571428571427</v>
      </c>
      <c r="J48" s="18">
        <v>0.11438923395445134</v>
      </c>
    </row>
    <row r="49" spans="1:10" x14ac:dyDescent="0.3">
      <c r="A49" s="16" t="s">
        <v>29</v>
      </c>
      <c r="B49" s="18">
        <v>0.14634146341463414</v>
      </c>
      <c r="C49" s="18">
        <v>0.14634146341463414</v>
      </c>
      <c r="D49" s="18">
        <v>5.3763440860215055E-2</v>
      </c>
      <c r="E49" s="18"/>
      <c r="F49" s="18"/>
      <c r="G49" s="18"/>
      <c r="H49" s="18"/>
      <c r="I49" s="18"/>
      <c r="J49" s="18">
        <v>0.11548212256316111</v>
      </c>
    </row>
    <row r="50" spans="1:10" x14ac:dyDescent="0.3">
      <c r="A50" s="16" t="s">
        <v>123</v>
      </c>
      <c r="B50" s="18"/>
      <c r="C50" s="18"/>
      <c r="D50" s="18"/>
      <c r="E50" s="18"/>
      <c r="F50" s="18"/>
      <c r="G50" s="18"/>
      <c r="H50" s="18">
        <v>3.4883720930232558E-2</v>
      </c>
      <c r="I50" s="18">
        <v>0.19767441860465115</v>
      </c>
      <c r="J50" s="18">
        <v>0.11627906976744186</v>
      </c>
    </row>
    <row r="51" spans="1:10" x14ac:dyDescent="0.3">
      <c r="A51" s="16" t="s">
        <v>130</v>
      </c>
      <c r="B51" s="18"/>
      <c r="C51" s="18"/>
      <c r="D51" s="18"/>
      <c r="E51" s="18"/>
      <c r="F51" s="18"/>
      <c r="G51" s="18"/>
      <c r="H51" s="18"/>
      <c r="I51" s="18">
        <v>0.11864406779661017</v>
      </c>
      <c r="J51" s="18">
        <v>0.11864406779661017</v>
      </c>
    </row>
    <row r="52" spans="1:10" x14ac:dyDescent="0.3">
      <c r="A52" s="16" t="s">
        <v>92</v>
      </c>
      <c r="B52" s="18"/>
      <c r="C52" s="18"/>
      <c r="D52" s="18"/>
      <c r="E52" s="18">
        <v>0.24742268041237114</v>
      </c>
      <c r="F52" s="18"/>
      <c r="G52" s="18"/>
      <c r="H52" s="18">
        <v>6.7567567567567571E-2</v>
      </c>
      <c r="I52" s="18">
        <v>5.3571428571428568E-2</v>
      </c>
      <c r="J52" s="18">
        <v>0.12285389218378907</v>
      </c>
    </row>
    <row r="53" spans="1:10" x14ac:dyDescent="0.3">
      <c r="A53" s="16" t="s">
        <v>48</v>
      </c>
      <c r="B53" s="18">
        <v>0.24778761061946902</v>
      </c>
      <c r="C53" s="18"/>
      <c r="D53" s="18">
        <v>0.10843373493975904</v>
      </c>
      <c r="E53" s="18"/>
      <c r="F53" s="18">
        <v>2.9411764705882353E-2</v>
      </c>
      <c r="G53" s="18"/>
      <c r="H53" s="18"/>
      <c r="I53" s="18"/>
      <c r="J53" s="18">
        <v>0.12854437008837014</v>
      </c>
    </row>
    <row r="54" spans="1:10" x14ac:dyDescent="0.3">
      <c r="A54" s="16" t="s">
        <v>37</v>
      </c>
      <c r="B54" s="18">
        <v>0.13013698630136986</v>
      </c>
      <c r="C54" s="18">
        <v>0.13402061855670103</v>
      </c>
      <c r="D54" s="18">
        <v>0.11464968152866242</v>
      </c>
      <c r="E54" s="18">
        <v>0.109375</v>
      </c>
      <c r="F54" s="18">
        <v>0.13793103448275862</v>
      </c>
      <c r="G54" s="18">
        <v>9.3525179856115109E-2</v>
      </c>
      <c r="H54" s="18">
        <v>0.20588235294117646</v>
      </c>
      <c r="I54" s="18"/>
      <c r="J54" s="18">
        <v>0.13221726480954052</v>
      </c>
    </row>
    <row r="55" spans="1:10" x14ac:dyDescent="0.3">
      <c r="A55" s="16" t="s">
        <v>56</v>
      </c>
      <c r="B55" s="18"/>
      <c r="C55" s="18">
        <v>0.13541666666666666</v>
      </c>
      <c r="D55" s="18"/>
      <c r="E55" s="18"/>
      <c r="F55" s="18"/>
      <c r="G55" s="18"/>
      <c r="H55" s="18"/>
      <c r="I55" s="18"/>
      <c r="J55" s="18">
        <v>0.13541666666666666</v>
      </c>
    </row>
    <row r="56" spans="1:10" x14ac:dyDescent="0.3">
      <c r="A56" s="16" t="s">
        <v>89</v>
      </c>
      <c r="B56" s="18"/>
      <c r="C56" s="18"/>
      <c r="D56" s="18"/>
      <c r="E56" s="18">
        <v>0.13725490196078433</v>
      </c>
      <c r="F56" s="18">
        <v>0.18620689655172415</v>
      </c>
      <c r="G56" s="18">
        <v>0.1271186440677966</v>
      </c>
      <c r="H56" s="18">
        <v>0.14503816793893129</v>
      </c>
      <c r="I56" s="18">
        <v>9.1603053435114504E-2</v>
      </c>
      <c r="J56" s="18">
        <v>0.13744433279087018</v>
      </c>
    </row>
    <row r="57" spans="1:10" x14ac:dyDescent="0.3">
      <c r="A57" s="16" t="s">
        <v>132</v>
      </c>
      <c r="B57" s="18"/>
      <c r="C57" s="18"/>
      <c r="D57" s="18"/>
      <c r="E57" s="18"/>
      <c r="F57" s="18"/>
      <c r="G57" s="18"/>
      <c r="H57" s="18"/>
      <c r="I57" s="18">
        <v>0.13953488372093023</v>
      </c>
      <c r="J57" s="18">
        <v>0.13953488372093023</v>
      </c>
    </row>
    <row r="58" spans="1:10" x14ac:dyDescent="0.3">
      <c r="A58" s="16" t="s">
        <v>22</v>
      </c>
      <c r="B58" s="18">
        <v>0.14137308039747065</v>
      </c>
      <c r="C58" s="18">
        <v>0.18699186991869918</v>
      </c>
      <c r="D58" s="18">
        <v>0.11827956989247312</v>
      </c>
      <c r="E58" s="18">
        <v>0.1134020618556701</v>
      </c>
      <c r="F58" s="18"/>
      <c r="G58" s="18"/>
      <c r="H58" s="18"/>
      <c r="I58" s="18"/>
      <c r="J58" s="18">
        <v>0.14028393249235677</v>
      </c>
    </row>
    <row r="59" spans="1:10" x14ac:dyDescent="0.3">
      <c r="A59" s="16" t="s">
        <v>137</v>
      </c>
      <c r="B59" s="18"/>
      <c r="C59" s="18"/>
      <c r="D59" s="18"/>
      <c r="E59" s="18"/>
      <c r="F59" s="18"/>
      <c r="G59" s="18"/>
      <c r="H59" s="18"/>
      <c r="I59" s="18">
        <v>0.140625</v>
      </c>
      <c r="J59" s="18">
        <v>0.140625</v>
      </c>
    </row>
    <row r="60" spans="1:10" x14ac:dyDescent="0.3">
      <c r="A60" s="16" t="s">
        <v>109</v>
      </c>
      <c r="B60" s="18"/>
      <c r="C60" s="18"/>
      <c r="D60" s="18"/>
      <c r="E60" s="18"/>
      <c r="F60" s="18"/>
      <c r="G60" s="18">
        <v>7.6271186440677971E-2</v>
      </c>
      <c r="H60" s="18">
        <v>0.16793893129770993</v>
      </c>
      <c r="I60" s="18">
        <v>0.18320610687022901</v>
      </c>
      <c r="J60" s="18">
        <v>0.14247207486953897</v>
      </c>
    </row>
    <row r="61" spans="1:10" x14ac:dyDescent="0.3">
      <c r="A61" s="16" t="s">
        <v>91</v>
      </c>
      <c r="B61" s="18"/>
      <c r="C61" s="18"/>
      <c r="D61" s="18"/>
      <c r="E61" s="18">
        <v>5.0632911392405063E-2</v>
      </c>
      <c r="F61" s="18">
        <v>0.18461538461538463</v>
      </c>
      <c r="G61" s="18">
        <v>0.23404255319148937</v>
      </c>
      <c r="H61" s="18">
        <v>0.11607142857142858</v>
      </c>
      <c r="I61" s="18">
        <v>0.1271186440677966</v>
      </c>
      <c r="J61" s="18">
        <v>0.14249618436770084</v>
      </c>
    </row>
    <row r="62" spans="1:10" x14ac:dyDescent="0.3">
      <c r="A62" s="16" t="s">
        <v>55</v>
      </c>
      <c r="B62" s="18"/>
      <c r="C62" s="18">
        <v>0.14583333333333334</v>
      </c>
      <c r="D62" s="18"/>
      <c r="E62" s="18"/>
      <c r="F62" s="18"/>
      <c r="G62" s="18"/>
      <c r="H62" s="18"/>
      <c r="I62" s="18"/>
      <c r="J62" s="18">
        <v>0.14583333333333334</v>
      </c>
    </row>
    <row r="63" spans="1:10" x14ac:dyDescent="0.3">
      <c r="A63" s="16" t="s">
        <v>42</v>
      </c>
      <c r="B63" s="18">
        <v>0.16521739130434782</v>
      </c>
      <c r="C63" s="18">
        <v>0.12698412698412698</v>
      </c>
      <c r="D63" s="18"/>
      <c r="E63" s="18"/>
      <c r="F63" s="18"/>
      <c r="G63" s="18"/>
      <c r="H63" s="18"/>
      <c r="I63" s="18"/>
      <c r="J63" s="18">
        <v>0.1461007591442374</v>
      </c>
    </row>
    <row r="64" spans="1:10" x14ac:dyDescent="0.3">
      <c r="A64" s="16" t="s">
        <v>118</v>
      </c>
      <c r="B64" s="18"/>
      <c r="C64" s="18"/>
      <c r="D64" s="18"/>
      <c r="E64" s="18"/>
      <c r="F64" s="18"/>
      <c r="G64" s="18">
        <v>8.1081081081081086E-2</v>
      </c>
      <c r="H64" s="18">
        <v>0.21621621621621623</v>
      </c>
      <c r="I64" s="18"/>
      <c r="J64" s="18">
        <v>0.14864864864864866</v>
      </c>
    </row>
    <row r="65" spans="1:10" x14ac:dyDescent="0.3">
      <c r="A65" s="16" t="s">
        <v>111</v>
      </c>
      <c r="B65" s="18"/>
      <c r="C65" s="18"/>
      <c r="D65" s="18"/>
      <c r="E65" s="18"/>
      <c r="F65" s="18"/>
      <c r="G65" s="18">
        <v>0.11702127659574468</v>
      </c>
      <c r="H65" s="18">
        <v>0.16964285714285715</v>
      </c>
      <c r="I65" s="18">
        <v>0.16101694915254236</v>
      </c>
      <c r="J65" s="18">
        <v>0.1492270276303814</v>
      </c>
    </row>
    <row r="66" spans="1:10" x14ac:dyDescent="0.3">
      <c r="A66" s="16" t="s">
        <v>96</v>
      </c>
      <c r="B66" s="18"/>
      <c r="C66" s="18"/>
      <c r="D66" s="18"/>
      <c r="E66" s="18">
        <v>0.2391304347826087</v>
      </c>
      <c r="F66" s="18">
        <v>0.06</v>
      </c>
      <c r="G66" s="18"/>
      <c r="H66" s="18"/>
      <c r="I66" s="18"/>
      <c r="J66" s="18">
        <v>0.14956521739130435</v>
      </c>
    </row>
    <row r="67" spans="1:10" x14ac:dyDescent="0.3">
      <c r="A67" s="16" t="s">
        <v>36</v>
      </c>
      <c r="B67" s="18">
        <v>0.13698630136986301</v>
      </c>
      <c r="C67" s="18">
        <v>0.14432989690721648</v>
      </c>
      <c r="D67" s="18">
        <v>0.21656050955414013</v>
      </c>
      <c r="E67" s="18">
        <v>0.140625</v>
      </c>
      <c r="F67" s="18">
        <v>0.16551724137931034</v>
      </c>
      <c r="G67" s="18">
        <v>0.19148936170212766</v>
      </c>
      <c r="H67" s="18">
        <v>0.14285714285714285</v>
      </c>
      <c r="I67" s="18">
        <v>7.6271186440677971E-2</v>
      </c>
      <c r="J67" s="18">
        <v>0.15182958002630981</v>
      </c>
    </row>
    <row r="68" spans="1:10" x14ac:dyDescent="0.3">
      <c r="A68" s="16" t="s">
        <v>135</v>
      </c>
      <c r="B68" s="18"/>
      <c r="C68" s="18"/>
      <c r="D68" s="18"/>
      <c r="E68" s="18"/>
      <c r="F68" s="18"/>
      <c r="G68" s="18"/>
      <c r="H68" s="18"/>
      <c r="I68" s="18">
        <v>0.15189873417721519</v>
      </c>
      <c r="J68" s="18">
        <v>0.15189873417721519</v>
      </c>
    </row>
    <row r="69" spans="1:10" x14ac:dyDescent="0.3">
      <c r="A69" s="16" t="s">
        <v>106</v>
      </c>
      <c r="B69" s="18"/>
      <c r="C69" s="18"/>
      <c r="D69" s="18"/>
      <c r="E69" s="18"/>
      <c r="F69" s="18">
        <v>0.12745098039215685</v>
      </c>
      <c r="G69" s="18">
        <v>0.13513513513513514</v>
      </c>
      <c r="H69" s="18">
        <v>0.14864864864864866</v>
      </c>
      <c r="I69" s="18">
        <v>0.19642857142857142</v>
      </c>
      <c r="J69" s="18">
        <v>0.15191583390112801</v>
      </c>
    </row>
    <row r="70" spans="1:10" x14ac:dyDescent="0.3">
      <c r="A70" s="16" t="s">
        <v>57</v>
      </c>
      <c r="B70" s="18"/>
      <c r="C70" s="18">
        <v>0.16260162601626016</v>
      </c>
      <c r="D70" s="18">
        <v>0.21505376344086022</v>
      </c>
      <c r="E70" s="18">
        <v>0.10126582278481013</v>
      </c>
      <c r="F70" s="18"/>
      <c r="G70" s="18"/>
      <c r="H70" s="18"/>
      <c r="I70" s="18"/>
      <c r="J70" s="18">
        <v>0.15964040408064351</v>
      </c>
    </row>
    <row r="71" spans="1:10" x14ac:dyDescent="0.3">
      <c r="A71" s="16" t="s">
        <v>94</v>
      </c>
      <c r="B71" s="18"/>
      <c r="C71" s="18"/>
      <c r="D71" s="18"/>
      <c r="E71" s="18">
        <v>0.10309278350515463</v>
      </c>
      <c r="F71" s="18">
        <v>0.21875</v>
      </c>
      <c r="G71" s="18"/>
      <c r="H71" s="18"/>
      <c r="I71" s="18"/>
      <c r="J71" s="18">
        <v>0.1609213917525773</v>
      </c>
    </row>
    <row r="72" spans="1:10" x14ac:dyDescent="0.3">
      <c r="A72" s="16" t="s">
        <v>83</v>
      </c>
      <c r="B72" s="18"/>
      <c r="C72" s="18"/>
      <c r="D72" s="18">
        <v>0.19354838709677419</v>
      </c>
      <c r="E72" s="18">
        <v>0.10309278350515463</v>
      </c>
      <c r="F72" s="18">
        <v>0.1875</v>
      </c>
      <c r="G72" s="18"/>
      <c r="H72" s="18"/>
      <c r="I72" s="18"/>
      <c r="J72" s="18">
        <v>0.16138039020064296</v>
      </c>
    </row>
    <row r="73" spans="1:10" x14ac:dyDescent="0.3">
      <c r="A73" s="16" t="s">
        <v>97</v>
      </c>
      <c r="B73" s="18"/>
      <c r="C73" s="18"/>
      <c r="D73" s="18"/>
      <c r="E73" s="18">
        <v>0.16260162601626016</v>
      </c>
      <c r="F73" s="18"/>
      <c r="G73" s="18"/>
      <c r="H73" s="18"/>
      <c r="I73" s="18"/>
      <c r="J73" s="18">
        <v>0.16260162601626016</v>
      </c>
    </row>
    <row r="74" spans="1:10" x14ac:dyDescent="0.3">
      <c r="A74" s="16" t="s">
        <v>28</v>
      </c>
      <c r="B74" s="18">
        <v>0.25609756097560976</v>
      </c>
      <c r="C74" s="18">
        <v>7.3170731707317069E-2</v>
      </c>
      <c r="D74" s="18"/>
      <c r="E74" s="18"/>
      <c r="F74" s="18"/>
      <c r="G74" s="18"/>
      <c r="H74" s="18"/>
      <c r="I74" s="18"/>
      <c r="J74" s="18">
        <v>0.16463414634146342</v>
      </c>
    </row>
    <row r="75" spans="1:10" x14ac:dyDescent="0.3">
      <c r="A75" s="16" t="s">
        <v>108</v>
      </c>
      <c r="B75" s="18"/>
      <c r="C75" s="18"/>
      <c r="D75" s="18"/>
      <c r="E75" s="18"/>
      <c r="F75" s="18"/>
      <c r="G75" s="18">
        <v>0.16949152542372881</v>
      </c>
      <c r="H75" s="18">
        <v>0.23664122137404581</v>
      </c>
      <c r="I75" s="18">
        <v>9.1603053435114504E-2</v>
      </c>
      <c r="J75" s="18">
        <v>0.16591193341096303</v>
      </c>
    </row>
    <row r="76" spans="1:10" x14ac:dyDescent="0.3">
      <c r="A76" s="16" t="s">
        <v>84</v>
      </c>
      <c r="B76" s="18"/>
      <c r="C76" s="18"/>
      <c r="D76" s="18">
        <v>0.10828025477707007</v>
      </c>
      <c r="E76" s="18">
        <v>0.203125</v>
      </c>
      <c r="F76" s="18">
        <v>0.17241379310344829</v>
      </c>
      <c r="G76" s="18"/>
      <c r="H76" s="18"/>
      <c r="I76" s="18">
        <v>0.189873417721519</v>
      </c>
      <c r="J76" s="18">
        <v>0.16842311640050933</v>
      </c>
    </row>
    <row r="77" spans="1:10" x14ac:dyDescent="0.3">
      <c r="A77" s="16" t="s">
        <v>35</v>
      </c>
      <c r="B77" s="18">
        <v>0.25342465753424659</v>
      </c>
      <c r="C77" s="18">
        <v>0.21649484536082475</v>
      </c>
      <c r="D77" s="18">
        <v>0.16560509554140126</v>
      </c>
      <c r="E77" s="18">
        <v>5.46875E-2</v>
      </c>
      <c r="F77" s="18"/>
      <c r="G77" s="18"/>
      <c r="H77" s="18"/>
      <c r="I77" s="18"/>
      <c r="J77" s="18">
        <v>0.17255302460911814</v>
      </c>
    </row>
    <row r="78" spans="1:10" x14ac:dyDescent="0.3">
      <c r="A78" s="16" t="s">
        <v>43</v>
      </c>
      <c r="B78" s="18">
        <v>0.17391304347826086</v>
      </c>
      <c r="C78" s="18">
        <v>0.22222222222222221</v>
      </c>
      <c r="D78" s="18">
        <v>0.32323232323232326</v>
      </c>
      <c r="E78" s="18">
        <v>0.13043478260869565</v>
      </c>
      <c r="F78" s="18"/>
      <c r="G78" s="18">
        <v>0.17142857142857143</v>
      </c>
      <c r="H78" s="18">
        <v>5.5555555555555552E-2</v>
      </c>
      <c r="I78" s="18"/>
      <c r="J78" s="18">
        <v>0.17946441642093816</v>
      </c>
    </row>
    <row r="79" spans="1:10" x14ac:dyDescent="0.3">
      <c r="A79" s="16" t="s">
        <v>60</v>
      </c>
      <c r="B79" s="18"/>
      <c r="C79" s="18">
        <v>0.12371134020618557</v>
      </c>
      <c r="D79" s="18">
        <v>0.16560509554140126</v>
      </c>
      <c r="E79" s="18">
        <v>0.1796875</v>
      </c>
      <c r="F79" s="18">
        <v>0.22758620689655173</v>
      </c>
      <c r="G79" s="18">
        <v>0.20143884892086331</v>
      </c>
      <c r="H79" s="18"/>
      <c r="I79" s="18"/>
      <c r="J79" s="18">
        <v>0.17960579831300036</v>
      </c>
    </row>
    <row r="80" spans="1:10" x14ac:dyDescent="0.3">
      <c r="A80" s="16" t="s">
        <v>86</v>
      </c>
      <c r="B80" s="18"/>
      <c r="C80" s="18"/>
      <c r="D80" s="18">
        <v>0.20202020202020202</v>
      </c>
      <c r="E80" s="18">
        <v>0.18478260869565216</v>
      </c>
      <c r="F80" s="18">
        <v>0.16</v>
      </c>
      <c r="G80" s="18"/>
      <c r="H80" s="18"/>
      <c r="I80" s="18"/>
      <c r="J80" s="18">
        <v>0.1822676035719514</v>
      </c>
    </row>
    <row r="81" spans="1:10" x14ac:dyDescent="0.3">
      <c r="A81" s="16" t="s">
        <v>14</v>
      </c>
      <c r="B81" s="18">
        <v>0.30434782608695654</v>
      </c>
      <c r="C81" s="18">
        <v>0.22549019607843138</v>
      </c>
      <c r="D81" s="18">
        <v>0.21153846153846154</v>
      </c>
      <c r="E81" s="18">
        <v>0.17647058823529413</v>
      </c>
      <c r="F81" s="18">
        <v>0.1103448275862069</v>
      </c>
      <c r="G81" s="18">
        <v>0.15254237288135594</v>
      </c>
      <c r="H81" s="18"/>
      <c r="I81" s="18"/>
      <c r="J81" s="18">
        <v>0.19678904540111775</v>
      </c>
    </row>
    <row r="82" spans="1:10" x14ac:dyDescent="0.3">
      <c r="A82" s="16" t="s">
        <v>34</v>
      </c>
      <c r="B82" s="18">
        <v>0.22602739726027396</v>
      </c>
      <c r="C82" s="18">
        <v>0.17010309278350516</v>
      </c>
      <c r="D82" s="18"/>
      <c r="E82" s="18"/>
      <c r="F82" s="18"/>
      <c r="G82" s="18"/>
      <c r="H82" s="18"/>
      <c r="I82" s="18"/>
      <c r="J82" s="18">
        <v>0.19806524502188955</v>
      </c>
    </row>
    <row r="83" spans="1:10" x14ac:dyDescent="0.3">
      <c r="A83" s="16" t="s">
        <v>82</v>
      </c>
      <c r="B83" s="18"/>
      <c r="C83" s="18"/>
      <c r="D83" s="18">
        <v>0.23655913978494625</v>
      </c>
      <c r="E83" s="18">
        <v>0.16494845360824742</v>
      </c>
      <c r="F83" s="18"/>
      <c r="G83" s="18"/>
      <c r="H83" s="18"/>
      <c r="I83" s="18"/>
      <c r="J83" s="18">
        <v>0.20075379669659682</v>
      </c>
    </row>
    <row r="84" spans="1:10" x14ac:dyDescent="0.3">
      <c r="A84" s="16" t="s">
        <v>33</v>
      </c>
      <c r="B84" s="18">
        <v>0.25342465753424659</v>
      </c>
      <c r="C84" s="18">
        <v>0.20103092783505155</v>
      </c>
      <c r="D84" s="18">
        <v>0.22929936305732485</v>
      </c>
      <c r="E84" s="18">
        <v>0.1875</v>
      </c>
      <c r="F84" s="18">
        <v>0.17241379310344829</v>
      </c>
      <c r="G84" s="18">
        <v>0.37142857142857144</v>
      </c>
      <c r="H84" s="18">
        <v>0.20930232558139536</v>
      </c>
      <c r="I84" s="18">
        <v>5.0847457627118647E-2</v>
      </c>
      <c r="J84" s="18">
        <v>0.2094058870208946</v>
      </c>
    </row>
    <row r="85" spans="1:10" x14ac:dyDescent="0.3">
      <c r="A85" s="16" t="s">
        <v>115</v>
      </c>
      <c r="B85" s="18"/>
      <c r="C85" s="18"/>
      <c r="D85" s="18"/>
      <c r="E85" s="18"/>
      <c r="F85" s="18"/>
      <c r="G85" s="18">
        <v>0.15107913669064749</v>
      </c>
      <c r="H85" s="18">
        <v>0.27450980392156865</v>
      </c>
      <c r="I85" s="18"/>
      <c r="J85" s="18">
        <v>0.21279447030610807</v>
      </c>
    </row>
    <row r="86" spans="1:10" x14ac:dyDescent="0.3">
      <c r="A86" s="16" t="s">
        <v>93</v>
      </c>
      <c r="B86" s="18"/>
      <c r="C86" s="18"/>
      <c r="D86" s="18"/>
      <c r="E86" s="18">
        <v>0.16494845360824742</v>
      </c>
      <c r="F86" s="18">
        <v>0.28125</v>
      </c>
      <c r="G86" s="18">
        <v>0.2857142857142857</v>
      </c>
      <c r="H86" s="18">
        <v>0.1875</v>
      </c>
      <c r="I86" s="18">
        <v>0.16101694915254236</v>
      </c>
      <c r="J86" s="18">
        <v>0.21608593769501511</v>
      </c>
    </row>
    <row r="87" spans="1:10" x14ac:dyDescent="0.3">
      <c r="A87" s="16" t="s">
        <v>127</v>
      </c>
      <c r="B87" s="18"/>
      <c r="C87" s="18"/>
      <c r="D87" s="18"/>
      <c r="E87" s="18"/>
      <c r="F87" s="18"/>
      <c r="G87" s="18"/>
      <c r="H87" s="18">
        <v>0.20270270270270271</v>
      </c>
      <c r="I87" s="18">
        <v>0.25</v>
      </c>
      <c r="J87" s="18">
        <v>0.22635135135135137</v>
      </c>
    </row>
    <row r="88" spans="1:10" x14ac:dyDescent="0.3">
      <c r="A88" s="16" t="s">
        <v>121</v>
      </c>
      <c r="B88" s="18"/>
      <c r="C88" s="18"/>
      <c r="D88" s="18"/>
      <c r="E88" s="18"/>
      <c r="F88" s="18"/>
      <c r="G88" s="18"/>
      <c r="H88" s="18">
        <v>0.26744186046511625</v>
      </c>
      <c r="I88" s="18">
        <v>0.20930232558139536</v>
      </c>
      <c r="J88" s="18">
        <v>0.23837209302325579</v>
      </c>
    </row>
    <row r="89" spans="1:10" x14ac:dyDescent="0.3">
      <c r="A89" s="16" t="s">
        <v>16</v>
      </c>
      <c r="B89" s="18">
        <v>0.21014492753623187</v>
      </c>
      <c r="C89" s="18">
        <v>0.27450980392156865</v>
      </c>
      <c r="D89" s="18">
        <v>0.29807692307692307</v>
      </c>
      <c r="E89" s="18">
        <v>0.23529411764705882</v>
      </c>
      <c r="F89" s="18">
        <v>0.1793103448275862</v>
      </c>
      <c r="G89" s="18"/>
      <c r="H89" s="18"/>
      <c r="I89" s="18"/>
      <c r="J89" s="18">
        <v>0.23946722340187371</v>
      </c>
    </row>
    <row r="90" spans="1:10" x14ac:dyDescent="0.3">
      <c r="A90" s="16" t="s">
        <v>117</v>
      </c>
      <c r="B90" s="18"/>
      <c r="C90" s="18"/>
      <c r="D90" s="18"/>
      <c r="E90" s="18"/>
      <c r="F90" s="18"/>
      <c r="G90" s="18">
        <v>0.12857142857142856</v>
      </c>
      <c r="H90" s="18">
        <v>0.27777777777777779</v>
      </c>
      <c r="I90" s="18">
        <v>0.328125</v>
      </c>
      <c r="J90" s="18">
        <v>0.24482473544973546</v>
      </c>
    </row>
    <row r="91" spans="1:10" x14ac:dyDescent="0.3">
      <c r="A91" s="16" t="s">
        <v>80</v>
      </c>
      <c r="B91" s="18"/>
      <c r="C91" s="18"/>
      <c r="D91" s="18">
        <v>0.23684210526315788</v>
      </c>
      <c r="E91" s="18">
        <v>0.26582278481012656</v>
      </c>
      <c r="F91" s="18"/>
      <c r="G91" s="18"/>
      <c r="H91" s="18"/>
      <c r="I91" s="18"/>
      <c r="J91" s="18">
        <v>0.2513324450366422</v>
      </c>
    </row>
    <row r="92" spans="1:10" x14ac:dyDescent="0.3">
      <c r="A92" s="16" t="s">
        <v>125</v>
      </c>
      <c r="B92" s="18"/>
      <c r="C92" s="18"/>
      <c r="D92" s="18"/>
      <c r="E92" s="18"/>
      <c r="F92" s="18"/>
      <c r="G92" s="18"/>
      <c r="H92" s="18">
        <v>0.33333333333333331</v>
      </c>
      <c r="I92" s="18">
        <v>0.1875</v>
      </c>
      <c r="J92" s="18">
        <v>0.26041666666666663</v>
      </c>
    </row>
    <row r="93" spans="1:10" x14ac:dyDescent="0.3">
      <c r="A93" s="16" t="s">
        <v>23</v>
      </c>
      <c r="B93" s="18">
        <v>0.25925925925925924</v>
      </c>
      <c r="C93" s="18">
        <v>0.39583333333333331</v>
      </c>
      <c r="D93" s="18">
        <v>0.42105263157894735</v>
      </c>
      <c r="E93" s="18">
        <v>0.24050632911392406</v>
      </c>
      <c r="F93" s="18">
        <v>0.13846153846153847</v>
      </c>
      <c r="G93" s="18">
        <v>0.11428571428571428</v>
      </c>
      <c r="H93" s="18"/>
      <c r="I93" s="18"/>
      <c r="J93" s="18">
        <v>0.26156646767211944</v>
      </c>
    </row>
    <row r="94" spans="1:10" x14ac:dyDescent="0.3">
      <c r="A94" s="16" t="s">
        <v>103</v>
      </c>
      <c r="B94" s="18"/>
      <c r="C94" s="18"/>
      <c r="D94" s="18"/>
      <c r="E94" s="18"/>
      <c r="F94" s="18">
        <v>2.7586206896551724E-2</v>
      </c>
      <c r="G94" s="18"/>
      <c r="H94" s="18">
        <v>0.46511627906976744</v>
      </c>
      <c r="I94" s="18">
        <v>0.30232558139534882</v>
      </c>
      <c r="J94" s="18">
        <v>0.26500935578722268</v>
      </c>
    </row>
    <row r="95" spans="1:10" x14ac:dyDescent="0.3">
      <c r="A95" s="16" t="s">
        <v>39</v>
      </c>
      <c r="B95" s="18">
        <v>0.31304347826086959</v>
      </c>
      <c r="C95" s="18">
        <v>0.2857142857142857</v>
      </c>
      <c r="D95" s="18"/>
      <c r="E95" s="18"/>
      <c r="F95" s="18">
        <v>0.203125</v>
      </c>
      <c r="G95" s="18"/>
      <c r="H95" s="18"/>
      <c r="I95" s="18"/>
      <c r="J95" s="18">
        <v>0.26729425465838513</v>
      </c>
    </row>
    <row r="96" spans="1:10" x14ac:dyDescent="0.3">
      <c r="A96" s="16" t="s">
        <v>101</v>
      </c>
      <c r="B96" s="18"/>
      <c r="C96" s="18"/>
      <c r="D96" s="18"/>
      <c r="E96" s="18"/>
      <c r="F96" s="18">
        <v>0.29230769230769232</v>
      </c>
      <c r="G96" s="18">
        <v>0.27659574468085107</v>
      </c>
      <c r="H96" s="18">
        <v>0.30357142857142855</v>
      </c>
      <c r="I96" s="18">
        <v>0.21186440677966101</v>
      </c>
      <c r="J96" s="18">
        <v>0.27108481808490825</v>
      </c>
    </row>
    <row r="97" spans="1:10" x14ac:dyDescent="0.3">
      <c r="A97" s="16" t="s">
        <v>21</v>
      </c>
      <c r="B97" s="18">
        <v>0.3888888888888889</v>
      </c>
      <c r="C97" s="18">
        <v>0.3125</v>
      </c>
      <c r="D97" s="18">
        <v>0.21052631578947367</v>
      </c>
      <c r="E97" s="18">
        <v>0.25316455696202533</v>
      </c>
      <c r="F97" s="18">
        <v>0.2153846153846154</v>
      </c>
      <c r="G97" s="18"/>
      <c r="H97" s="18"/>
      <c r="I97" s="18"/>
      <c r="J97" s="18">
        <v>0.2760928754050006</v>
      </c>
    </row>
    <row r="98" spans="1:10" x14ac:dyDescent="0.3">
      <c r="A98" s="16" t="s">
        <v>49</v>
      </c>
      <c r="B98" s="18">
        <v>0.25663716814159293</v>
      </c>
      <c r="C98" s="18">
        <v>0.29591836734693877</v>
      </c>
      <c r="D98" s="18">
        <v>0.21686746987951808</v>
      </c>
      <c r="E98" s="18">
        <v>0.28455284552845528</v>
      </c>
      <c r="F98" s="18">
        <v>0.31372549019607843</v>
      </c>
      <c r="G98" s="18">
        <v>0.27027027027027029</v>
      </c>
      <c r="H98" s="18">
        <v>0.36486486486486486</v>
      </c>
      <c r="I98" s="18">
        <v>0.2857142857142857</v>
      </c>
      <c r="J98" s="18">
        <v>0.28606884524275056</v>
      </c>
    </row>
    <row r="99" spans="1:10" x14ac:dyDescent="0.3">
      <c r="A99" s="16" t="s">
        <v>139</v>
      </c>
      <c r="B99" s="18"/>
      <c r="C99" s="18"/>
      <c r="D99" s="18"/>
      <c r="E99" s="18"/>
      <c r="F99" s="18"/>
      <c r="G99" s="18"/>
      <c r="H99" s="18"/>
      <c r="I99" s="18">
        <v>0.296875</v>
      </c>
      <c r="J99" s="18">
        <v>0.296875</v>
      </c>
    </row>
    <row r="100" spans="1:10" x14ac:dyDescent="0.3">
      <c r="A100" s="16" t="s">
        <v>40</v>
      </c>
      <c r="B100" s="18">
        <v>0.18260869565217391</v>
      </c>
      <c r="C100" s="18">
        <v>0.33333333333333331</v>
      </c>
      <c r="D100" s="18">
        <v>0.31313131313131315</v>
      </c>
      <c r="E100" s="18">
        <v>0.36956521739130432</v>
      </c>
      <c r="F100" s="18">
        <v>0.14000000000000001</v>
      </c>
      <c r="G100" s="18">
        <v>0.55714285714285716</v>
      </c>
      <c r="H100" s="18">
        <v>0.24074074074074073</v>
      </c>
      <c r="I100" s="18"/>
      <c r="J100" s="18">
        <v>0.30521745105596038</v>
      </c>
    </row>
    <row r="101" spans="1:10" x14ac:dyDescent="0.3">
      <c r="A101" s="16" t="s">
        <v>104</v>
      </c>
      <c r="B101" s="18"/>
      <c r="C101" s="18"/>
      <c r="D101" s="18"/>
      <c r="E101" s="18"/>
      <c r="F101" s="18">
        <v>0.54</v>
      </c>
      <c r="G101" s="18">
        <v>7.1428571428571425E-2</v>
      </c>
      <c r="H101" s="18"/>
      <c r="I101" s="18"/>
      <c r="J101" s="18">
        <v>0.30571428571428572</v>
      </c>
    </row>
    <row r="102" spans="1:10" x14ac:dyDescent="0.3">
      <c r="A102" s="16" t="s">
        <v>27</v>
      </c>
      <c r="B102" s="18">
        <v>0.34146341463414637</v>
      </c>
      <c r="C102" s="18">
        <v>0.30894308943089432</v>
      </c>
      <c r="D102" s="18"/>
      <c r="E102" s="18"/>
      <c r="F102" s="18"/>
      <c r="G102" s="18"/>
      <c r="H102" s="18"/>
      <c r="I102" s="18"/>
      <c r="J102" s="18">
        <v>0.32520325203252032</v>
      </c>
    </row>
    <row r="103" spans="1:10" x14ac:dyDescent="0.3">
      <c r="A103" s="16" t="s">
        <v>15</v>
      </c>
      <c r="B103" s="18">
        <v>0.41304347826086957</v>
      </c>
      <c r="C103" s="18">
        <v>0.36274509803921567</v>
      </c>
      <c r="D103" s="18">
        <v>0.33653846153846156</v>
      </c>
      <c r="E103" s="18">
        <v>0.36274509803921567</v>
      </c>
      <c r="F103" s="18">
        <v>0.31724137931034485</v>
      </c>
      <c r="G103" s="18">
        <v>0.38983050847457629</v>
      </c>
      <c r="H103" s="18">
        <v>0.29770992366412213</v>
      </c>
      <c r="I103" s="18">
        <v>0.4351145038167939</v>
      </c>
      <c r="J103" s="18">
        <v>0.36437105639294998</v>
      </c>
    </row>
    <row r="104" spans="1:10" x14ac:dyDescent="0.3">
      <c r="A104" s="16" t="s">
        <v>47</v>
      </c>
      <c r="B104" s="18">
        <v>0.39823008849557523</v>
      </c>
      <c r="C104" s="18">
        <v>0.30612244897959184</v>
      </c>
      <c r="D104" s="18">
        <v>0.28915662650602408</v>
      </c>
      <c r="E104" s="18">
        <v>0.35772357723577236</v>
      </c>
      <c r="F104" s="18">
        <v>0.34313725490196079</v>
      </c>
      <c r="G104" s="18">
        <v>0.5</v>
      </c>
      <c r="H104" s="18"/>
      <c r="I104" s="18"/>
      <c r="J104" s="18">
        <v>0.36572833268648736</v>
      </c>
    </row>
    <row r="105" spans="1:10" x14ac:dyDescent="0.3">
      <c r="A105" s="16" t="s">
        <v>114</v>
      </c>
      <c r="B105" s="18"/>
      <c r="C105" s="18"/>
      <c r="D105" s="18"/>
      <c r="E105" s="18"/>
      <c r="F105" s="18"/>
      <c r="G105" s="18">
        <v>0.43884892086330934</v>
      </c>
      <c r="H105" s="18">
        <v>0.43137254901960786</v>
      </c>
      <c r="I105" s="18">
        <v>0.44303797468354428</v>
      </c>
      <c r="J105" s="18">
        <v>0.43775314818882044</v>
      </c>
    </row>
    <row r="106" spans="1:10" x14ac:dyDescent="0.3">
      <c r="A106" s="16" t="s">
        <v>141</v>
      </c>
      <c r="B106" s="18">
        <v>0.17647058823529407</v>
      </c>
      <c r="C106" s="18">
        <v>0.17647058823529413</v>
      </c>
      <c r="D106" s="18">
        <v>0.16761162296243801</v>
      </c>
      <c r="E106" s="18">
        <v>0.16216216216216217</v>
      </c>
      <c r="F106" s="18">
        <v>0.16666666666666669</v>
      </c>
      <c r="G106" s="18">
        <v>0.18181818181818174</v>
      </c>
      <c r="H106" s="18">
        <v>0.18749999999999997</v>
      </c>
      <c r="I106" s="18">
        <v>0.16666666666666669</v>
      </c>
      <c r="J106" s="18">
        <v>0.17282172166928583</v>
      </c>
    </row>
  </sheetData>
  <conditionalFormatting pivot="1" sqref="B5:B105">
    <cfRule type="top10" dxfId="40" priority="9" percent="1" rank="10"/>
  </conditionalFormatting>
  <conditionalFormatting pivot="1" sqref="C5:C105">
    <cfRule type="top10" dxfId="39" priority="8" percent="1" rank="10"/>
  </conditionalFormatting>
  <conditionalFormatting pivot="1" sqref="D5:D105">
    <cfRule type="top10" dxfId="38" priority="7" percent="1" rank="10"/>
  </conditionalFormatting>
  <conditionalFormatting pivot="1" sqref="E5:E104">
    <cfRule type="top10" dxfId="37" priority="6" percent="1" rank="10"/>
  </conditionalFormatting>
  <conditionalFormatting pivot="1" sqref="F5:F105">
    <cfRule type="top10" dxfId="36" priority="5" percent="1" rank="10"/>
  </conditionalFormatting>
  <conditionalFormatting pivot="1" sqref="G5:G105">
    <cfRule type="top10" dxfId="35" priority="4" percent="1" rank="10"/>
  </conditionalFormatting>
  <conditionalFormatting pivot="1" sqref="H5:H105">
    <cfRule type="top10" dxfId="34" priority="3" percent="1" rank="10"/>
  </conditionalFormatting>
  <conditionalFormatting pivot="1" sqref="I5:I105">
    <cfRule type="top10" dxfId="33" priority="2" percent="1" rank="10"/>
  </conditionalFormatting>
  <conditionalFormatting pivot="1" sqref="J5:J105">
    <cfRule type="top10" dxfId="32" priority="1" percent="1" rank="1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26661-26D2-460E-AAC9-80C3FF1E2F65}">
  <dimension ref="A3:J106"/>
  <sheetViews>
    <sheetView topLeftCell="A89" workbookViewId="0">
      <selection activeCell="K105" sqref="K105"/>
    </sheetView>
  </sheetViews>
  <sheetFormatPr defaultRowHeight="14.4" x14ac:dyDescent="0.3"/>
  <cols>
    <col min="1" max="1" width="25.6640625" style="15" bestFit="1" customWidth="1"/>
    <col min="2" max="2" width="16.88671875" style="15" bestFit="1" customWidth="1"/>
    <col min="3" max="9" width="8.33203125" style="15" bestFit="1" customWidth="1"/>
    <col min="10" max="10" width="11.5546875" style="15" bestFit="1" customWidth="1"/>
    <col min="11" max="16384" width="8.88671875" style="15"/>
  </cols>
  <sheetData>
    <row r="3" spans="1:10" x14ac:dyDescent="0.3">
      <c r="A3" s="14" t="s">
        <v>147</v>
      </c>
      <c r="B3" s="14" t="s">
        <v>142</v>
      </c>
    </row>
    <row r="4" spans="1:10" x14ac:dyDescent="0.3">
      <c r="A4" s="14" t="s">
        <v>140</v>
      </c>
      <c r="B4" s="15" t="s">
        <v>12</v>
      </c>
      <c r="C4" s="15" t="s">
        <v>53</v>
      </c>
      <c r="D4" s="15" t="s">
        <v>76</v>
      </c>
      <c r="E4" s="15" t="s">
        <v>88</v>
      </c>
      <c r="F4" s="15" t="s">
        <v>99</v>
      </c>
      <c r="G4" s="15" t="s">
        <v>107</v>
      </c>
      <c r="H4" s="15" t="s">
        <v>119</v>
      </c>
      <c r="I4" s="15" t="s">
        <v>128</v>
      </c>
      <c r="J4" s="15" t="s">
        <v>141</v>
      </c>
    </row>
    <row r="5" spans="1:10" x14ac:dyDescent="0.3">
      <c r="A5" s="16" t="s">
        <v>120</v>
      </c>
      <c r="B5" s="18"/>
      <c r="C5" s="18"/>
      <c r="D5" s="18"/>
      <c r="E5" s="18"/>
      <c r="F5" s="18"/>
      <c r="G5" s="18"/>
      <c r="H5" s="18">
        <v>5.6974190005491488E-3</v>
      </c>
      <c r="I5" s="18">
        <v>7.8109353094332062E-3</v>
      </c>
      <c r="J5" s="18">
        <v>6.754177154991178E-3</v>
      </c>
    </row>
    <row r="6" spans="1:10" x14ac:dyDescent="0.3">
      <c r="A6" s="16" t="s">
        <v>61</v>
      </c>
      <c r="B6" s="18"/>
      <c r="C6" s="18">
        <v>1.0940011406646964E-2</v>
      </c>
      <c r="D6" s="18"/>
      <c r="E6" s="18"/>
      <c r="F6" s="18"/>
      <c r="G6" s="18"/>
      <c r="H6" s="18"/>
      <c r="I6" s="18"/>
      <c r="J6" s="18">
        <v>1.0940011406646964E-2</v>
      </c>
    </row>
    <row r="7" spans="1:10" x14ac:dyDescent="0.3">
      <c r="A7" s="16" t="s">
        <v>45</v>
      </c>
      <c r="B7" s="18">
        <v>1.1779293242405457E-2</v>
      </c>
      <c r="C7" s="18"/>
      <c r="D7" s="18"/>
      <c r="E7" s="18"/>
      <c r="F7" s="18"/>
      <c r="G7" s="18"/>
      <c r="H7" s="18"/>
      <c r="I7" s="18"/>
      <c r="J7" s="18">
        <v>1.1779293242405457E-2</v>
      </c>
    </row>
    <row r="8" spans="1:10" x14ac:dyDescent="0.3">
      <c r="A8" s="16" t="s">
        <v>79</v>
      </c>
      <c r="B8" s="18"/>
      <c r="C8" s="18"/>
      <c r="D8" s="18">
        <v>1.6198022579061777E-2</v>
      </c>
      <c r="E8" s="18"/>
      <c r="F8" s="18"/>
      <c r="G8" s="18"/>
      <c r="H8" s="18"/>
      <c r="I8" s="18"/>
      <c r="J8" s="18">
        <v>1.6198022579061777E-2</v>
      </c>
    </row>
    <row r="9" spans="1:10" x14ac:dyDescent="0.3">
      <c r="A9" s="16" t="s">
        <v>19</v>
      </c>
      <c r="B9" s="18">
        <v>2.8460038986354776E-2</v>
      </c>
      <c r="C9" s="18"/>
      <c r="D9" s="18"/>
      <c r="E9" s="18"/>
      <c r="F9" s="18"/>
      <c r="G9" s="18"/>
      <c r="H9" s="18"/>
      <c r="I9" s="18"/>
      <c r="J9" s="18">
        <v>2.8460038986354776E-2</v>
      </c>
    </row>
    <row r="10" spans="1:10" x14ac:dyDescent="0.3">
      <c r="A10" s="16" t="s">
        <v>129</v>
      </c>
      <c r="B10" s="18"/>
      <c r="C10" s="18"/>
      <c r="D10" s="18"/>
      <c r="E10" s="18"/>
      <c r="F10" s="18"/>
      <c r="G10" s="18"/>
      <c r="H10" s="18"/>
      <c r="I10" s="18">
        <v>3.1377261499432541E-2</v>
      </c>
      <c r="J10" s="18">
        <v>3.1377261499432541E-2</v>
      </c>
    </row>
    <row r="11" spans="1:10" x14ac:dyDescent="0.3">
      <c r="A11" s="16" t="s">
        <v>31</v>
      </c>
      <c r="B11" s="18">
        <v>3.7699624749105508E-2</v>
      </c>
      <c r="C11" s="18"/>
      <c r="D11" s="18"/>
      <c r="E11" s="18"/>
      <c r="F11" s="18"/>
      <c r="G11" s="18"/>
      <c r="H11" s="18"/>
      <c r="I11" s="18"/>
      <c r="J11" s="18">
        <v>3.7699624749105508E-2</v>
      </c>
    </row>
    <row r="12" spans="1:10" x14ac:dyDescent="0.3">
      <c r="A12" s="16" t="s">
        <v>134</v>
      </c>
      <c r="B12" s="18"/>
      <c r="C12" s="18"/>
      <c r="D12" s="18"/>
      <c r="E12" s="18"/>
      <c r="F12" s="18"/>
      <c r="G12" s="18"/>
      <c r="H12" s="18"/>
      <c r="I12" s="18">
        <v>3.7859007832898174E-2</v>
      </c>
      <c r="J12" s="18">
        <v>3.7859007832898174E-2</v>
      </c>
    </row>
    <row r="13" spans="1:10" x14ac:dyDescent="0.3">
      <c r="A13" s="16" t="s">
        <v>78</v>
      </c>
      <c r="B13" s="18"/>
      <c r="C13" s="18"/>
      <c r="D13" s="18">
        <v>4.3545333426828411E-2</v>
      </c>
      <c r="E13" s="18"/>
      <c r="F13" s="18"/>
      <c r="G13" s="18"/>
      <c r="H13" s="18"/>
      <c r="I13" s="18"/>
      <c r="J13" s="18">
        <v>4.3545333426828411E-2</v>
      </c>
    </row>
    <row r="14" spans="1:10" x14ac:dyDescent="0.3">
      <c r="A14" s="16" t="s">
        <v>18</v>
      </c>
      <c r="B14" s="18">
        <v>4.0077972709551657E-2</v>
      </c>
      <c r="C14" s="18">
        <v>5.1132103763682712E-2</v>
      </c>
      <c r="D14" s="18"/>
      <c r="E14" s="18"/>
      <c r="F14" s="18"/>
      <c r="G14" s="18"/>
      <c r="H14" s="18"/>
      <c r="I14" s="18"/>
      <c r="J14" s="18">
        <v>4.5605038236617185E-2</v>
      </c>
    </row>
    <row r="15" spans="1:10" x14ac:dyDescent="0.3">
      <c r="A15" s="16" t="s">
        <v>87</v>
      </c>
      <c r="B15" s="18"/>
      <c r="C15" s="18"/>
      <c r="D15" s="18">
        <v>4.6077397982231594E-2</v>
      </c>
      <c r="E15" s="18"/>
      <c r="F15" s="18"/>
      <c r="G15" s="18"/>
      <c r="H15" s="18"/>
      <c r="I15" s="18"/>
      <c r="J15" s="18">
        <v>4.6077397982231594E-2</v>
      </c>
    </row>
    <row r="16" spans="1:10" x14ac:dyDescent="0.3">
      <c r="A16" s="16" t="s">
        <v>110</v>
      </c>
      <c r="B16" s="18"/>
      <c r="C16" s="18"/>
      <c r="D16" s="18"/>
      <c r="E16" s="18"/>
      <c r="F16" s="18"/>
      <c r="G16" s="18">
        <v>4.7256766642282372E-2</v>
      </c>
      <c r="H16" s="18"/>
      <c r="I16" s="18"/>
      <c r="J16" s="18">
        <v>4.7256766642282372E-2</v>
      </c>
    </row>
    <row r="17" spans="1:10" x14ac:dyDescent="0.3">
      <c r="A17" s="16" t="s">
        <v>52</v>
      </c>
      <c r="B17" s="18"/>
      <c r="C17" s="18">
        <v>5.1132103763682712E-2</v>
      </c>
      <c r="D17" s="18">
        <v>9.6206437136245701E-2</v>
      </c>
      <c r="E17" s="18">
        <v>3.7670280789546845E-2</v>
      </c>
      <c r="F17" s="18">
        <v>3.6388788644292069E-2</v>
      </c>
      <c r="G17" s="18"/>
      <c r="H17" s="18"/>
      <c r="I17" s="18"/>
      <c r="J17" s="18">
        <v>5.5349402583441835E-2</v>
      </c>
    </row>
    <row r="18" spans="1:10" x14ac:dyDescent="0.3">
      <c r="A18" s="16" t="s">
        <v>77</v>
      </c>
      <c r="B18" s="18"/>
      <c r="C18" s="18"/>
      <c r="D18" s="18">
        <v>5.6307411822452844E-2</v>
      </c>
      <c r="E18" s="18"/>
      <c r="F18" s="18"/>
      <c r="G18" s="18"/>
      <c r="H18" s="18"/>
      <c r="I18" s="18"/>
      <c r="J18" s="18">
        <v>5.6307411822452844E-2</v>
      </c>
    </row>
    <row r="19" spans="1:10" x14ac:dyDescent="0.3">
      <c r="A19" s="16" t="s">
        <v>90</v>
      </c>
      <c r="B19" s="18"/>
      <c r="C19" s="18"/>
      <c r="D19" s="18"/>
      <c r="E19" s="18">
        <v>5.4281345565749234E-2</v>
      </c>
      <c r="F19" s="18">
        <v>6.1409840009623483E-2</v>
      </c>
      <c r="G19" s="18"/>
      <c r="H19" s="18"/>
      <c r="I19" s="18"/>
      <c r="J19" s="18">
        <v>5.7845592787686362E-2</v>
      </c>
    </row>
    <row r="20" spans="1:10" x14ac:dyDescent="0.3">
      <c r="A20" s="16" t="s">
        <v>124</v>
      </c>
      <c r="B20" s="18"/>
      <c r="C20" s="18"/>
      <c r="D20" s="18"/>
      <c r="E20" s="18"/>
      <c r="F20" s="18"/>
      <c r="G20" s="18"/>
      <c r="H20" s="18">
        <v>5.9077060266032551E-2</v>
      </c>
      <c r="I20" s="18"/>
      <c r="J20" s="18">
        <v>5.9077060266032551E-2</v>
      </c>
    </row>
    <row r="21" spans="1:10" x14ac:dyDescent="0.3">
      <c r="A21" s="16" t="s">
        <v>122</v>
      </c>
      <c r="B21" s="18"/>
      <c r="C21" s="18"/>
      <c r="D21" s="18"/>
      <c r="E21" s="18"/>
      <c r="F21" s="18"/>
      <c r="G21" s="18"/>
      <c r="H21" s="18">
        <v>6.5122103944896675E-2</v>
      </c>
      <c r="I21" s="18"/>
      <c r="J21" s="18">
        <v>6.5122103944896675E-2</v>
      </c>
    </row>
    <row r="22" spans="1:10" x14ac:dyDescent="0.3">
      <c r="A22" s="16" t="s">
        <v>95</v>
      </c>
      <c r="B22" s="18"/>
      <c r="C22" s="18"/>
      <c r="D22" s="18"/>
      <c r="E22" s="18">
        <v>0.10815521041570557</v>
      </c>
      <c r="F22" s="18">
        <v>2.6508742244782856E-2</v>
      </c>
      <c r="G22" s="18"/>
      <c r="H22" s="18"/>
      <c r="I22" s="18"/>
      <c r="J22" s="18">
        <v>6.7331976330244209E-2</v>
      </c>
    </row>
    <row r="23" spans="1:10" x14ac:dyDescent="0.3">
      <c r="A23" s="16" t="s">
        <v>81</v>
      </c>
      <c r="B23" s="18"/>
      <c r="C23" s="18"/>
      <c r="D23" s="18">
        <v>9.5771030180717365E-2</v>
      </c>
      <c r="E23" s="18"/>
      <c r="F23" s="18"/>
      <c r="G23" s="18">
        <v>4.5994633959371409E-2</v>
      </c>
      <c r="H23" s="18"/>
      <c r="I23" s="18"/>
      <c r="J23" s="18">
        <v>7.0882832070044394E-2</v>
      </c>
    </row>
    <row r="24" spans="1:10" x14ac:dyDescent="0.3">
      <c r="A24" s="16" t="s">
        <v>30</v>
      </c>
      <c r="B24" s="18">
        <v>9.3725455973470637E-2</v>
      </c>
      <c r="C24" s="18"/>
      <c r="D24" s="18">
        <v>4.9970344009489916E-2</v>
      </c>
      <c r="E24" s="18"/>
      <c r="F24" s="18"/>
      <c r="G24" s="18"/>
      <c r="H24" s="18"/>
      <c r="I24" s="18"/>
      <c r="J24" s="18">
        <v>7.184789999148028E-2</v>
      </c>
    </row>
    <row r="25" spans="1:10" x14ac:dyDescent="0.3">
      <c r="A25" s="16" t="s">
        <v>131</v>
      </c>
      <c r="B25" s="18"/>
      <c r="C25" s="18"/>
      <c r="D25" s="18"/>
      <c r="E25" s="18"/>
      <c r="F25" s="18"/>
      <c r="G25" s="18"/>
      <c r="H25" s="18"/>
      <c r="I25" s="18">
        <v>7.3764824762006062E-2</v>
      </c>
      <c r="J25" s="18">
        <v>7.3764824762006062E-2</v>
      </c>
    </row>
    <row r="26" spans="1:10" x14ac:dyDescent="0.3">
      <c r="A26" s="16" t="s">
        <v>138</v>
      </c>
      <c r="B26" s="18"/>
      <c r="C26" s="18"/>
      <c r="D26" s="18"/>
      <c r="E26" s="18"/>
      <c r="F26" s="18"/>
      <c r="G26" s="18"/>
      <c r="H26" s="18"/>
      <c r="I26" s="18">
        <v>7.5279676817899321E-2</v>
      </c>
      <c r="J26" s="18">
        <v>7.5279676817899321E-2</v>
      </c>
    </row>
    <row r="27" spans="1:10" x14ac:dyDescent="0.3">
      <c r="A27" s="16" t="s">
        <v>62</v>
      </c>
      <c r="B27" s="18"/>
      <c r="C27" s="18">
        <v>7.7674023769100167E-2</v>
      </c>
      <c r="D27" s="18"/>
      <c r="E27" s="18"/>
      <c r="F27" s="18"/>
      <c r="G27" s="18"/>
      <c r="H27" s="18"/>
      <c r="I27" s="18"/>
      <c r="J27" s="18">
        <v>7.7674023769100167E-2</v>
      </c>
    </row>
    <row r="28" spans="1:10" x14ac:dyDescent="0.3">
      <c r="A28" s="16" t="s">
        <v>58</v>
      </c>
      <c r="B28" s="18"/>
      <c r="C28" s="18">
        <v>7.8160507116373637E-2</v>
      </c>
      <c r="D28" s="18"/>
      <c r="E28" s="18"/>
      <c r="F28" s="18"/>
      <c r="G28" s="18"/>
      <c r="H28" s="18"/>
      <c r="I28" s="18"/>
      <c r="J28" s="18">
        <v>7.8160507116373637E-2</v>
      </c>
    </row>
    <row r="29" spans="1:10" x14ac:dyDescent="0.3">
      <c r="A29" s="16" t="s">
        <v>25</v>
      </c>
      <c r="B29" s="18">
        <v>2.1232105517130447E-2</v>
      </c>
      <c r="C29" s="18">
        <v>2.6082906380996741E-2</v>
      </c>
      <c r="D29" s="18">
        <v>7.7607558939546836E-2</v>
      </c>
      <c r="E29" s="18">
        <v>9.919766593727207E-2</v>
      </c>
      <c r="F29" s="18">
        <v>0.12171247775360886</v>
      </c>
      <c r="G29" s="18">
        <v>0.1438865465695669</v>
      </c>
      <c r="H29" s="18">
        <v>8.8732039324426512E-2</v>
      </c>
      <c r="I29" s="18"/>
      <c r="J29" s="18">
        <v>8.2635900060364045E-2</v>
      </c>
    </row>
    <row r="30" spans="1:10" x14ac:dyDescent="0.3">
      <c r="A30" s="16" t="s">
        <v>98</v>
      </c>
      <c r="B30" s="18"/>
      <c r="C30" s="18"/>
      <c r="D30" s="18"/>
      <c r="E30" s="18">
        <v>0.1103051868071712</v>
      </c>
      <c r="F30" s="18">
        <v>6.5097159940209273E-2</v>
      </c>
      <c r="G30" s="18"/>
      <c r="H30" s="18"/>
      <c r="I30" s="18"/>
      <c r="J30" s="18">
        <v>8.7701173373690239E-2</v>
      </c>
    </row>
    <row r="31" spans="1:10" x14ac:dyDescent="0.3">
      <c r="A31" s="16" t="s">
        <v>133</v>
      </c>
      <c r="B31" s="18"/>
      <c r="C31" s="18"/>
      <c r="D31" s="18"/>
      <c r="E31" s="18"/>
      <c r="F31" s="18"/>
      <c r="G31" s="18"/>
      <c r="H31" s="18"/>
      <c r="I31" s="18">
        <v>8.8364882506527409E-2</v>
      </c>
      <c r="J31" s="18">
        <v>8.8364882506527409E-2</v>
      </c>
    </row>
    <row r="32" spans="1:10" x14ac:dyDescent="0.3">
      <c r="A32" s="16" t="s">
        <v>50</v>
      </c>
      <c r="B32" s="18">
        <v>7.9432171624531464E-2</v>
      </c>
      <c r="C32" s="18">
        <v>0.10148223668731864</v>
      </c>
      <c r="D32" s="18"/>
      <c r="E32" s="18"/>
      <c r="F32" s="18"/>
      <c r="G32" s="18"/>
      <c r="H32" s="18"/>
      <c r="I32" s="18"/>
      <c r="J32" s="18">
        <v>9.045720415592505E-2</v>
      </c>
    </row>
    <row r="33" spans="1:10" x14ac:dyDescent="0.3">
      <c r="A33" s="16" t="s">
        <v>44</v>
      </c>
      <c r="B33" s="18">
        <v>9.4978301301921891E-2</v>
      </c>
      <c r="C33" s="18"/>
      <c r="D33" s="18"/>
      <c r="E33" s="18"/>
      <c r="F33" s="18"/>
      <c r="G33" s="18"/>
      <c r="H33" s="18"/>
      <c r="I33" s="18"/>
      <c r="J33" s="18">
        <v>9.4978301301921891E-2</v>
      </c>
    </row>
    <row r="34" spans="1:10" x14ac:dyDescent="0.3">
      <c r="A34" s="16" t="s">
        <v>123</v>
      </c>
      <c r="B34" s="18"/>
      <c r="C34" s="18"/>
      <c r="D34" s="18"/>
      <c r="E34" s="18"/>
      <c r="F34" s="18"/>
      <c r="G34" s="18"/>
      <c r="H34" s="18">
        <v>4.9467752035065746E-2</v>
      </c>
      <c r="I34" s="18">
        <v>0.15494451697127937</v>
      </c>
      <c r="J34" s="18">
        <v>0.10220613450317256</v>
      </c>
    </row>
    <row r="35" spans="1:10" x14ac:dyDescent="0.3">
      <c r="A35" s="16" t="s">
        <v>54</v>
      </c>
      <c r="B35" s="18"/>
      <c r="C35" s="18">
        <v>0.12689200846992393</v>
      </c>
      <c r="D35" s="18"/>
      <c r="E35" s="18">
        <v>9.0187491446558091E-2</v>
      </c>
      <c r="F35" s="18"/>
      <c r="G35" s="18"/>
      <c r="H35" s="18"/>
      <c r="I35" s="18"/>
      <c r="J35" s="18">
        <v>0.10853974995824101</v>
      </c>
    </row>
    <row r="36" spans="1:10" x14ac:dyDescent="0.3">
      <c r="A36" s="16" t="s">
        <v>59</v>
      </c>
      <c r="B36" s="18"/>
      <c r="C36" s="18">
        <v>7.0087310130367175E-2</v>
      </c>
      <c r="D36" s="18">
        <v>0.11024614472123369</v>
      </c>
      <c r="E36" s="18">
        <v>0.12115862429710998</v>
      </c>
      <c r="F36" s="18">
        <v>0.15009223545195371</v>
      </c>
      <c r="G36" s="18"/>
      <c r="H36" s="18"/>
      <c r="I36" s="18"/>
      <c r="J36" s="18">
        <v>0.11289607865016614</v>
      </c>
    </row>
    <row r="37" spans="1:10" x14ac:dyDescent="0.3">
      <c r="A37" s="16" t="s">
        <v>97</v>
      </c>
      <c r="B37" s="18"/>
      <c r="C37" s="18"/>
      <c r="D37" s="18"/>
      <c r="E37" s="18">
        <v>0.11393184617490078</v>
      </c>
      <c r="F37" s="18"/>
      <c r="G37" s="18"/>
      <c r="H37" s="18"/>
      <c r="I37" s="18"/>
      <c r="J37" s="18">
        <v>0.11393184617490078</v>
      </c>
    </row>
    <row r="38" spans="1:10" x14ac:dyDescent="0.3">
      <c r="A38" s="16" t="s">
        <v>113</v>
      </c>
      <c r="B38" s="18"/>
      <c r="C38" s="18"/>
      <c r="D38" s="18"/>
      <c r="E38" s="18"/>
      <c r="F38" s="18"/>
      <c r="G38" s="18">
        <v>0.11885656970912738</v>
      </c>
      <c r="H38" s="18"/>
      <c r="I38" s="18"/>
      <c r="J38" s="18">
        <v>0.11885656970912738</v>
      </c>
    </row>
    <row r="39" spans="1:10" x14ac:dyDescent="0.3">
      <c r="A39" s="16" t="s">
        <v>22</v>
      </c>
      <c r="B39" s="18">
        <v>0.14280602032523504</v>
      </c>
      <c r="C39" s="18">
        <v>0.1318024159789499</v>
      </c>
      <c r="D39" s="18">
        <v>0.10372182680901543</v>
      </c>
      <c r="E39" s="18">
        <v>7.9050608081600623E-2</v>
      </c>
      <c r="F39" s="18"/>
      <c r="G39" s="18"/>
      <c r="H39" s="18"/>
      <c r="I39" s="18"/>
      <c r="J39" s="18">
        <v>0.12003737830400721</v>
      </c>
    </row>
    <row r="40" spans="1:10" x14ac:dyDescent="0.3">
      <c r="A40" s="16" t="s">
        <v>136</v>
      </c>
      <c r="B40" s="18"/>
      <c r="C40" s="18"/>
      <c r="D40" s="18"/>
      <c r="E40" s="18"/>
      <c r="F40" s="18"/>
      <c r="G40" s="18"/>
      <c r="H40" s="18"/>
      <c r="I40" s="18">
        <v>0.12408759124087591</v>
      </c>
      <c r="J40" s="18">
        <v>0.12408759124087591</v>
      </c>
    </row>
    <row r="41" spans="1:10" x14ac:dyDescent="0.3">
      <c r="A41" s="16" t="s">
        <v>92</v>
      </c>
      <c r="B41" s="18"/>
      <c r="C41" s="18"/>
      <c r="D41" s="18"/>
      <c r="E41" s="18">
        <v>0.24964038184909115</v>
      </c>
      <c r="F41" s="18"/>
      <c r="G41" s="18"/>
      <c r="H41" s="18">
        <v>8.2887700534759357E-2</v>
      </c>
      <c r="I41" s="18">
        <v>5.4934525710635583E-2</v>
      </c>
      <c r="J41" s="18">
        <v>0.12915420269816202</v>
      </c>
    </row>
    <row r="42" spans="1:10" x14ac:dyDescent="0.3">
      <c r="A42" s="16" t="s">
        <v>35</v>
      </c>
      <c r="B42" s="18">
        <v>0.18878637331440737</v>
      </c>
      <c r="C42" s="18">
        <v>0.17343288225229428</v>
      </c>
      <c r="D42" s="18">
        <v>0.1179765744355797</v>
      </c>
      <c r="E42" s="18">
        <v>3.7316110513096516E-2</v>
      </c>
      <c r="F42" s="18"/>
      <c r="G42" s="18"/>
      <c r="H42" s="18"/>
      <c r="I42" s="18"/>
      <c r="J42" s="18">
        <v>0.12937798512884446</v>
      </c>
    </row>
    <row r="43" spans="1:10" x14ac:dyDescent="0.3">
      <c r="A43" s="16" t="s">
        <v>96</v>
      </c>
      <c r="B43" s="18"/>
      <c r="C43" s="18"/>
      <c r="D43" s="18"/>
      <c r="E43" s="18">
        <v>0.16344791588994109</v>
      </c>
      <c r="F43" s="18">
        <v>0.10292134831460674</v>
      </c>
      <c r="G43" s="18"/>
      <c r="H43" s="18"/>
      <c r="I43" s="18"/>
      <c r="J43" s="18">
        <v>0.13318463210227391</v>
      </c>
    </row>
    <row r="44" spans="1:10" x14ac:dyDescent="0.3">
      <c r="A44" s="16" t="s">
        <v>89</v>
      </c>
      <c r="B44" s="18"/>
      <c r="C44" s="18"/>
      <c r="D44" s="18"/>
      <c r="E44" s="18">
        <v>0.12232415902140673</v>
      </c>
      <c r="F44" s="18">
        <v>0.2144231925899194</v>
      </c>
      <c r="G44" s="18">
        <v>0.10197512801755669</v>
      </c>
      <c r="H44" s="18">
        <v>0.11744920373421197</v>
      </c>
      <c r="I44" s="18">
        <v>0.12223779958608719</v>
      </c>
      <c r="J44" s="18">
        <v>0.13568189658983637</v>
      </c>
    </row>
    <row r="45" spans="1:10" x14ac:dyDescent="0.3">
      <c r="A45" s="16" t="s">
        <v>111</v>
      </c>
      <c r="B45" s="18"/>
      <c r="C45" s="18"/>
      <c r="D45" s="18"/>
      <c r="E45" s="18"/>
      <c r="F45" s="18"/>
      <c r="G45" s="18">
        <v>8.2100421617477964E-2</v>
      </c>
      <c r="H45" s="18">
        <v>0.14267708595916309</v>
      </c>
      <c r="I45" s="18">
        <v>0.18358772536297399</v>
      </c>
      <c r="J45" s="18">
        <v>0.13612174431320501</v>
      </c>
    </row>
    <row r="46" spans="1:10" x14ac:dyDescent="0.3">
      <c r="A46" s="16" t="s">
        <v>118</v>
      </c>
      <c r="B46" s="18"/>
      <c r="C46" s="18"/>
      <c r="D46" s="18"/>
      <c r="E46" s="18"/>
      <c r="F46" s="18"/>
      <c r="G46" s="18">
        <v>0.11913825220701385</v>
      </c>
      <c r="H46" s="18">
        <v>0.15987460815047022</v>
      </c>
      <c r="I46" s="18"/>
      <c r="J46" s="18">
        <v>0.13950643017874204</v>
      </c>
    </row>
    <row r="47" spans="1:10" x14ac:dyDescent="0.3">
      <c r="A47" s="16" t="s">
        <v>36</v>
      </c>
      <c r="B47" s="18">
        <v>0.1671720756177818</v>
      </c>
      <c r="C47" s="18">
        <v>0.11930315756727329</v>
      </c>
      <c r="D47" s="18">
        <v>0.18734793187347931</v>
      </c>
      <c r="E47" s="18">
        <v>0.145573837715926</v>
      </c>
      <c r="F47" s="18">
        <v>0.1333640978311029</v>
      </c>
      <c r="G47" s="18">
        <v>0.17914909927175163</v>
      </c>
      <c r="H47" s="18">
        <v>0.12017897655659188</v>
      </c>
      <c r="I47" s="18">
        <v>6.4191884273786096E-2</v>
      </c>
      <c r="J47" s="18">
        <v>0.13953513258846162</v>
      </c>
    </row>
    <row r="48" spans="1:10" x14ac:dyDescent="0.3">
      <c r="A48" s="16" t="s">
        <v>130</v>
      </c>
      <c r="B48" s="18"/>
      <c r="C48" s="18"/>
      <c r="D48" s="18"/>
      <c r="E48" s="18"/>
      <c r="F48" s="18"/>
      <c r="G48" s="18"/>
      <c r="H48" s="18"/>
      <c r="I48" s="18">
        <v>0.1404031271605595</v>
      </c>
      <c r="J48" s="18">
        <v>0.1404031271605595</v>
      </c>
    </row>
    <row r="49" spans="1:10" x14ac:dyDescent="0.3">
      <c r="A49" s="16" t="s">
        <v>17</v>
      </c>
      <c r="B49" s="18">
        <v>5.7387914230019495E-2</v>
      </c>
      <c r="C49" s="18"/>
      <c r="D49" s="18"/>
      <c r="E49" s="18"/>
      <c r="F49" s="18"/>
      <c r="G49" s="18"/>
      <c r="H49" s="18"/>
      <c r="I49" s="18">
        <v>0.23432343234323433</v>
      </c>
      <c r="J49" s="18">
        <v>0.14585567328662691</v>
      </c>
    </row>
    <row r="50" spans="1:10" x14ac:dyDescent="0.3">
      <c r="A50" s="16" t="s">
        <v>24</v>
      </c>
      <c r="B50" s="18">
        <v>0.14830304005147177</v>
      </c>
      <c r="C50" s="18"/>
      <c r="D50" s="18"/>
      <c r="E50" s="18"/>
      <c r="F50" s="18"/>
      <c r="G50" s="18"/>
      <c r="H50" s="18"/>
      <c r="I50" s="18"/>
      <c r="J50" s="18">
        <v>0.14830304005147177</v>
      </c>
    </row>
    <row r="51" spans="1:10" x14ac:dyDescent="0.3">
      <c r="A51" s="16" t="s">
        <v>51</v>
      </c>
      <c r="B51" s="18">
        <v>3.6446287582741849E-2</v>
      </c>
      <c r="C51" s="18">
        <v>0.25049015763469534</v>
      </c>
      <c r="D51" s="18">
        <v>0.25935653315824031</v>
      </c>
      <c r="E51" s="18">
        <v>0.16593677295743808</v>
      </c>
      <c r="F51" s="18">
        <v>0.17578475336322871</v>
      </c>
      <c r="G51" s="18">
        <v>3.2396533570907909E-2</v>
      </c>
      <c r="H51" s="18"/>
      <c r="I51" s="18"/>
      <c r="J51" s="18">
        <v>0.15340183971120872</v>
      </c>
    </row>
    <row r="52" spans="1:10" x14ac:dyDescent="0.3">
      <c r="A52" s="16" t="s">
        <v>102</v>
      </c>
      <c r="B52" s="18"/>
      <c r="C52" s="18"/>
      <c r="D52" s="18"/>
      <c r="E52" s="18"/>
      <c r="F52" s="18">
        <v>0.14136286725119213</v>
      </c>
      <c r="G52" s="18">
        <v>0.20674879485806105</v>
      </c>
      <c r="H52" s="18">
        <v>0.14371702459686408</v>
      </c>
      <c r="I52" s="18">
        <v>0.12240314430095452</v>
      </c>
      <c r="J52" s="18">
        <v>0.15355795775176795</v>
      </c>
    </row>
    <row r="53" spans="1:10" x14ac:dyDescent="0.3">
      <c r="A53" s="16" t="s">
        <v>126</v>
      </c>
      <c r="B53" s="18"/>
      <c r="C53" s="18"/>
      <c r="D53" s="18"/>
      <c r="E53" s="18"/>
      <c r="F53" s="18"/>
      <c r="G53" s="18"/>
      <c r="H53" s="18">
        <v>0.15626278327742779</v>
      </c>
      <c r="I53" s="18"/>
      <c r="J53" s="18">
        <v>0.15626278327742779</v>
      </c>
    </row>
    <row r="54" spans="1:10" x14ac:dyDescent="0.3">
      <c r="A54" s="16" t="s">
        <v>82</v>
      </c>
      <c r="B54" s="18"/>
      <c r="C54" s="18"/>
      <c r="D54" s="18">
        <v>0.21908362989323843</v>
      </c>
      <c r="E54" s="18">
        <v>0.10062769713613182</v>
      </c>
      <c r="F54" s="18"/>
      <c r="G54" s="18"/>
      <c r="H54" s="18"/>
      <c r="I54" s="18"/>
      <c r="J54" s="18">
        <v>0.15985566351468511</v>
      </c>
    </row>
    <row r="55" spans="1:10" x14ac:dyDescent="0.3">
      <c r="A55" s="16" t="s">
        <v>94</v>
      </c>
      <c r="B55" s="18"/>
      <c r="C55" s="18"/>
      <c r="D55" s="18"/>
      <c r="E55" s="18">
        <v>0.12397018438603374</v>
      </c>
      <c r="F55" s="18">
        <v>0.20040248197216165</v>
      </c>
      <c r="G55" s="18"/>
      <c r="H55" s="18"/>
      <c r="I55" s="18"/>
      <c r="J55" s="18">
        <v>0.1621863331790977</v>
      </c>
    </row>
    <row r="56" spans="1:10" x14ac:dyDescent="0.3">
      <c r="A56" s="16" t="s">
        <v>105</v>
      </c>
      <c r="B56" s="18"/>
      <c r="C56" s="18"/>
      <c r="D56" s="18"/>
      <c r="E56" s="18"/>
      <c r="F56" s="18">
        <v>0.16269662921348316</v>
      </c>
      <c r="G56" s="18"/>
      <c r="H56" s="18"/>
      <c r="I56" s="18"/>
      <c r="J56" s="18">
        <v>0.16269662921348316</v>
      </c>
    </row>
    <row r="57" spans="1:10" x14ac:dyDescent="0.3">
      <c r="A57" s="16" t="s">
        <v>60</v>
      </c>
      <c r="B57" s="18"/>
      <c r="C57" s="18">
        <v>0.13392440503966402</v>
      </c>
      <c r="D57" s="18">
        <v>0.17823799015447292</v>
      </c>
      <c r="E57" s="18">
        <v>0.17632887385309345</v>
      </c>
      <c r="F57" s="18">
        <v>0.15043839409321644</v>
      </c>
      <c r="G57" s="18">
        <v>0.18211033743974289</v>
      </c>
      <c r="H57" s="18"/>
      <c r="I57" s="18"/>
      <c r="J57" s="18">
        <v>0.16420800011603795</v>
      </c>
    </row>
    <row r="58" spans="1:10" x14ac:dyDescent="0.3">
      <c r="A58" s="16" t="s">
        <v>41</v>
      </c>
      <c r="B58" s="18">
        <v>0.16528208307501549</v>
      </c>
      <c r="C58" s="18"/>
      <c r="D58" s="18"/>
      <c r="E58" s="18"/>
      <c r="F58" s="18"/>
      <c r="G58" s="18"/>
      <c r="H58" s="18"/>
      <c r="I58" s="18"/>
      <c r="J58" s="18">
        <v>0.16528208307501549</v>
      </c>
    </row>
    <row r="59" spans="1:10" x14ac:dyDescent="0.3">
      <c r="A59" s="16" t="s">
        <v>43</v>
      </c>
      <c r="B59" s="18">
        <v>0.14500929944203347</v>
      </c>
      <c r="C59" s="18">
        <v>0.20008488964346349</v>
      </c>
      <c r="D59" s="18">
        <v>0.26742960397530491</v>
      </c>
      <c r="E59" s="18">
        <v>0.18007605696816045</v>
      </c>
      <c r="F59" s="18"/>
      <c r="G59" s="18">
        <v>0.14845446087046418</v>
      </c>
      <c r="H59" s="18">
        <v>5.1951239466579396E-2</v>
      </c>
      <c r="I59" s="18"/>
      <c r="J59" s="18">
        <v>0.16550092506100098</v>
      </c>
    </row>
    <row r="60" spans="1:10" x14ac:dyDescent="0.3">
      <c r="A60" s="16" t="s">
        <v>29</v>
      </c>
      <c r="B60" s="18">
        <v>0.21886726590452918</v>
      </c>
      <c r="C60" s="18">
        <v>0.18484631024997009</v>
      </c>
      <c r="D60" s="18">
        <v>9.4676749703440088E-2</v>
      </c>
      <c r="E60" s="18"/>
      <c r="F60" s="18"/>
      <c r="G60" s="18"/>
      <c r="H60" s="18"/>
      <c r="I60" s="18"/>
      <c r="J60" s="18">
        <v>0.16613010861931313</v>
      </c>
    </row>
    <row r="61" spans="1:10" x14ac:dyDescent="0.3">
      <c r="A61" s="16" t="s">
        <v>28</v>
      </c>
      <c r="B61" s="18">
        <v>0.24391308142071735</v>
      </c>
      <c r="C61" s="18">
        <v>8.922377706016027E-2</v>
      </c>
      <c r="D61" s="18"/>
      <c r="E61" s="18"/>
      <c r="F61" s="18"/>
      <c r="G61" s="18"/>
      <c r="H61" s="18"/>
      <c r="I61" s="18"/>
      <c r="J61" s="18">
        <v>0.1665684292404388</v>
      </c>
    </row>
    <row r="62" spans="1:10" x14ac:dyDescent="0.3">
      <c r="A62" s="16" t="s">
        <v>84</v>
      </c>
      <c r="B62" s="18"/>
      <c r="C62" s="18"/>
      <c r="D62" s="18">
        <v>0.10088836077632547</v>
      </c>
      <c r="E62" s="18">
        <v>0.17315085345225281</v>
      </c>
      <c r="F62" s="18">
        <v>0.16459006306722043</v>
      </c>
      <c r="G62" s="18"/>
      <c r="H62" s="18"/>
      <c r="I62" s="18">
        <v>0.22788160744365124</v>
      </c>
      <c r="J62" s="18">
        <v>0.16662772118486249</v>
      </c>
    </row>
    <row r="63" spans="1:10" x14ac:dyDescent="0.3">
      <c r="A63" s="16" t="s">
        <v>100</v>
      </c>
      <c r="B63" s="18"/>
      <c r="C63" s="18"/>
      <c r="D63" s="18"/>
      <c r="E63" s="18"/>
      <c r="F63" s="18">
        <v>0.1014074341392999</v>
      </c>
      <c r="G63" s="18">
        <v>9.9049012435991221E-2</v>
      </c>
      <c r="H63" s="18">
        <v>0.24684239428885227</v>
      </c>
      <c r="I63" s="18">
        <v>0.22184391481407303</v>
      </c>
      <c r="J63" s="18">
        <v>0.16728568891955412</v>
      </c>
    </row>
    <row r="64" spans="1:10" x14ac:dyDescent="0.3">
      <c r="A64" s="16" t="s">
        <v>85</v>
      </c>
      <c r="B64" s="18"/>
      <c r="C64" s="18"/>
      <c r="D64" s="18">
        <v>0.22797771419966872</v>
      </c>
      <c r="E64" s="18">
        <v>0.11319066437998658</v>
      </c>
      <c r="F64" s="18"/>
      <c r="G64" s="18"/>
      <c r="H64" s="18"/>
      <c r="I64" s="18"/>
      <c r="J64" s="18">
        <v>0.17058418928982766</v>
      </c>
    </row>
    <row r="65" spans="1:10" x14ac:dyDescent="0.3">
      <c r="A65" s="16" t="s">
        <v>83</v>
      </c>
      <c r="B65" s="18"/>
      <c r="C65" s="18"/>
      <c r="D65" s="18">
        <v>0.17341340450771056</v>
      </c>
      <c r="E65" s="18">
        <v>0.16071662089708383</v>
      </c>
      <c r="F65" s="18">
        <v>0.1779305718598021</v>
      </c>
      <c r="G65" s="18"/>
      <c r="H65" s="18"/>
      <c r="I65" s="18"/>
      <c r="J65" s="18">
        <v>0.1706868657548655</v>
      </c>
    </row>
    <row r="66" spans="1:10" x14ac:dyDescent="0.3">
      <c r="A66" s="16" t="s">
        <v>116</v>
      </c>
      <c r="B66" s="18"/>
      <c r="C66" s="18"/>
      <c r="D66" s="18"/>
      <c r="E66" s="18"/>
      <c r="F66" s="18"/>
      <c r="G66" s="18">
        <v>0.17347255246562596</v>
      </c>
      <c r="H66" s="18"/>
      <c r="I66" s="18"/>
      <c r="J66" s="18">
        <v>0.17347255246562596</v>
      </c>
    </row>
    <row r="67" spans="1:10" x14ac:dyDescent="0.3">
      <c r="A67" s="16" t="s">
        <v>108</v>
      </c>
      <c r="B67" s="18"/>
      <c r="C67" s="18"/>
      <c r="D67" s="18"/>
      <c r="E67" s="18"/>
      <c r="F67" s="18"/>
      <c r="G67" s="18">
        <v>0.17505486466715436</v>
      </c>
      <c r="H67" s="18">
        <v>0.20799011532125206</v>
      </c>
      <c r="I67" s="18">
        <v>0.13739234928900459</v>
      </c>
      <c r="J67" s="18">
        <v>0.17347910975913702</v>
      </c>
    </row>
    <row r="68" spans="1:10" x14ac:dyDescent="0.3">
      <c r="A68" s="16" t="s">
        <v>109</v>
      </c>
      <c r="B68" s="18"/>
      <c r="C68" s="18"/>
      <c r="D68" s="18"/>
      <c r="E68" s="18"/>
      <c r="F68" s="18"/>
      <c r="G68" s="18">
        <v>0.1351865398683248</v>
      </c>
      <c r="H68" s="18">
        <v>0.20709774848984075</v>
      </c>
      <c r="I68" s="18">
        <v>0.1795847519861139</v>
      </c>
      <c r="J68" s="18">
        <v>0.17395634678142646</v>
      </c>
    </row>
    <row r="69" spans="1:10" x14ac:dyDescent="0.3">
      <c r="A69" s="16" t="s">
        <v>42</v>
      </c>
      <c r="B69" s="18">
        <v>0.16410415375077494</v>
      </c>
      <c r="C69" s="18">
        <v>0.18599320882852291</v>
      </c>
      <c r="D69" s="18"/>
      <c r="E69" s="18"/>
      <c r="F69" s="18"/>
      <c r="G69" s="18"/>
      <c r="H69" s="18"/>
      <c r="I69" s="18"/>
      <c r="J69" s="18">
        <v>0.17504868128964893</v>
      </c>
    </row>
    <row r="70" spans="1:10" x14ac:dyDescent="0.3">
      <c r="A70" s="16" t="s">
        <v>137</v>
      </c>
      <c r="B70" s="18"/>
      <c r="C70" s="18"/>
      <c r="D70" s="18"/>
      <c r="E70" s="18"/>
      <c r="F70" s="18"/>
      <c r="G70" s="18"/>
      <c r="H70" s="18"/>
      <c r="I70" s="18">
        <v>0.17604101926662524</v>
      </c>
      <c r="J70" s="18">
        <v>0.17604101926662524</v>
      </c>
    </row>
    <row r="71" spans="1:10" x14ac:dyDescent="0.3">
      <c r="A71" s="16" t="s">
        <v>91</v>
      </c>
      <c r="B71" s="18"/>
      <c r="C71" s="18"/>
      <c r="D71" s="18"/>
      <c r="E71" s="18">
        <v>6.4997163465434799E-2</v>
      </c>
      <c r="F71" s="18">
        <v>0.23017599367213762</v>
      </c>
      <c r="G71" s="18">
        <v>0.26270601763127638</v>
      </c>
      <c r="H71" s="18">
        <v>0.16561633476178472</v>
      </c>
      <c r="I71" s="18">
        <v>0.18885284263149496</v>
      </c>
      <c r="J71" s="18">
        <v>0.18246967043242568</v>
      </c>
    </row>
    <row r="72" spans="1:10" x14ac:dyDescent="0.3">
      <c r="A72" s="16" t="s">
        <v>34</v>
      </c>
      <c r="B72" s="18">
        <v>0.23304729337376606</v>
      </c>
      <c r="C72" s="18">
        <v>0.13988697049826307</v>
      </c>
      <c r="D72" s="18"/>
      <c r="E72" s="18"/>
      <c r="F72" s="18"/>
      <c r="G72" s="18"/>
      <c r="H72" s="18"/>
      <c r="I72" s="18"/>
      <c r="J72" s="18">
        <v>0.18646713193601455</v>
      </c>
    </row>
    <row r="73" spans="1:10" x14ac:dyDescent="0.3">
      <c r="A73" s="16" t="s">
        <v>56</v>
      </c>
      <c r="B73" s="18"/>
      <c r="C73" s="18">
        <v>0.19600993634528799</v>
      </c>
      <c r="D73" s="18"/>
      <c r="E73" s="18"/>
      <c r="F73" s="18"/>
      <c r="G73" s="18"/>
      <c r="H73" s="18"/>
      <c r="I73" s="18"/>
      <c r="J73" s="18">
        <v>0.19600993634528799</v>
      </c>
    </row>
    <row r="74" spans="1:10" x14ac:dyDescent="0.3">
      <c r="A74" s="16" t="s">
        <v>33</v>
      </c>
      <c r="B74" s="18">
        <v>0.22975675850054841</v>
      </c>
      <c r="C74" s="18">
        <v>0.21366723699901488</v>
      </c>
      <c r="D74" s="18">
        <v>0.22701295761896678</v>
      </c>
      <c r="E74" s="18">
        <v>0.18975857296632323</v>
      </c>
      <c r="F74" s="18">
        <v>0.16028303337948008</v>
      </c>
      <c r="G74" s="18">
        <v>0.2551654964894684</v>
      </c>
      <c r="H74" s="18">
        <v>0.24608641202254228</v>
      </c>
      <c r="I74" s="18">
        <v>6.1000904111046111E-2</v>
      </c>
      <c r="J74" s="18">
        <v>0.19784142151092379</v>
      </c>
    </row>
    <row r="75" spans="1:10" x14ac:dyDescent="0.3">
      <c r="A75" s="16" t="s">
        <v>115</v>
      </c>
      <c r="B75" s="18"/>
      <c r="C75" s="18"/>
      <c r="D75" s="18"/>
      <c r="E75" s="18"/>
      <c r="F75" s="18"/>
      <c r="G75" s="18">
        <v>0.15146104862226983</v>
      </c>
      <c r="H75" s="18">
        <v>0.24946124693468083</v>
      </c>
      <c r="I75" s="18"/>
      <c r="J75" s="18">
        <v>0.20046114777847535</v>
      </c>
    </row>
    <row r="76" spans="1:10" x14ac:dyDescent="0.3">
      <c r="A76" s="16" t="s">
        <v>48</v>
      </c>
      <c r="B76" s="18">
        <v>0.30090118829252732</v>
      </c>
      <c r="C76" s="18"/>
      <c r="D76" s="18">
        <v>0.22907091267235719</v>
      </c>
      <c r="E76" s="18"/>
      <c r="F76" s="18">
        <v>7.7279521674140511E-2</v>
      </c>
      <c r="G76" s="18"/>
      <c r="H76" s="18"/>
      <c r="I76" s="18"/>
      <c r="J76" s="18">
        <v>0.20241720754634171</v>
      </c>
    </row>
    <row r="77" spans="1:10" x14ac:dyDescent="0.3">
      <c r="A77" s="16" t="s">
        <v>112</v>
      </c>
      <c r="B77" s="18"/>
      <c r="C77" s="18"/>
      <c r="D77" s="18"/>
      <c r="E77" s="18"/>
      <c r="F77" s="18"/>
      <c r="G77" s="18">
        <v>0.2041123370110331</v>
      </c>
      <c r="H77" s="18"/>
      <c r="I77" s="18"/>
      <c r="J77" s="18">
        <v>0.2041123370110331</v>
      </c>
    </row>
    <row r="78" spans="1:10" x14ac:dyDescent="0.3">
      <c r="A78" s="16" t="s">
        <v>57</v>
      </c>
      <c r="B78" s="18"/>
      <c r="C78" s="18">
        <v>0.21211577562492526</v>
      </c>
      <c r="D78" s="18">
        <v>0.24888790035587188</v>
      </c>
      <c r="E78" s="18">
        <v>0.15333495421022772</v>
      </c>
      <c r="F78" s="18"/>
      <c r="G78" s="18"/>
      <c r="H78" s="18"/>
      <c r="I78" s="18"/>
      <c r="J78" s="18">
        <v>0.2047795433970083</v>
      </c>
    </row>
    <row r="79" spans="1:10" x14ac:dyDescent="0.3">
      <c r="A79" s="16" t="s">
        <v>37</v>
      </c>
      <c r="B79" s="18">
        <v>0.18123749919349635</v>
      </c>
      <c r="C79" s="18">
        <v>0.20884533623684348</v>
      </c>
      <c r="D79" s="18">
        <v>0.18853618514117582</v>
      </c>
      <c r="E79" s="18">
        <v>0.16971654108360243</v>
      </c>
      <c r="F79" s="18">
        <v>0.2020714761831513</v>
      </c>
      <c r="G79" s="18">
        <v>0.21472356126882106</v>
      </c>
      <c r="H79" s="18">
        <v>0.27034257263877537</v>
      </c>
      <c r="I79" s="18"/>
      <c r="J79" s="18">
        <v>0.20506759596369512</v>
      </c>
    </row>
    <row r="80" spans="1:10" x14ac:dyDescent="0.3">
      <c r="A80" s="16" t="s">
        <v>106</v>
      </c>
      <c r="B80" s="18"/>
      <c r="C80" s="18"/>
      <c r="D80" s="18"/>
      <c r="E80" s="18"/>
      <c r="F80" s="18">
        <v>0.10373692077727951</v>
      </c>
      <c r="G80" s="18">
        <v>0.19494614076293837</v>
      </c>
      <c r="H80" s="18">
        <v>0.27576986907615708</v>
      </c>
      <c r="I80" s="18">
        <v>0.25433833705951242</v>
      </c>
      <c r="J80" s="18">
        <v>0.20719781691897188</v>
      </c>
    </row>
    <row r="81" spans="1:10" x14ac:dyDescent="0.3">
      <c r="A81" s="16" t="s">
        <v>86</v>
      </c>
      <c r="B81" s="18"/>
      <c r="C81" s="18"/>
      <c r="D81" s="18">
        <v>0.19808763740400542</v>
      </c>
      <c r="E81" s="18">
        <v>0.2342852881962568</v>
      </c>
      <c r="F81" s="18">
        <v>0.1902247191011236</v>
      </c>
      <c r="G81" s="18"/>
      <c r="H81" s="18"/>
      <c r="I81" s="18"/>
      <c r="J81" s="18">
        <v>0.20753254823379527</v>
      </c>
    </row>
    <row r="82" spans="1:10" x14ac:dyDescent="0.3">
      <c r="A82" s="16" t="s">
        <v>23</v>
      </c>
      <c r="B82" s="18">
        <v>0.18449412900112594</v>
      </c>
      <c r="C82" s="18">
        <v>0.29917714640583759</v>
      </c>
      <c r="D82" s="18">
        <v>0.34162003485918724</v>
      </c>
      <c r="E82" s="18">
        <v>0.24661641948294027</v>
      </c>
      <c r="F82" s="18">
        <v>0.10994660866126162</v>
      </c>
      <c r="G82" s="18">
        <v>9.5987963891675021E-2</v>
      </c>
      <c r="H82" s="18"/>
      <c r="I82" s="18"/>
      <c r="J82" s="18">
        <v>0.21297371705033796</v>
      </c>
    </row>
    <row r="83" spans="1:10" x14ac:dyDescent="0.3">
      <c r="A83" s="16" t="s">
        <v>103</v>
      </c>
      <c r="B83" s="18"/>
      <c r="C83" s="18"/>
      <c r="D83" s="18"/>
      <c r="E83" s="18"/>
      <c r="F83" s="18">
        <v>2.1381325949853869E-2</v>
      </c>
      <c r="G83" s="18"/>
      <c r="H83" s="18">
        <v>0.32462653189015117</v>
      </c>
      <c r="I83" s="18">
        <v>0.2962630548302872</v>
      </c>
      <c r="J83" s="18">
        <v>0.21409030422343076</v>
      </c>
    </row>
    <row r="84" spans="1:10" x14ac:dyDescent="0.3">
      <c r="A84" s="16" t="s">
        <v>139</v>
      </c>
      <c r="B84" s="18"/>
      <c r="C84" s="18"/>
      <c r="D84" s="18"/>
      <c r="E84" s="18"/>
      <c r="F84" s="18"/>
      <c r="G84" s="18"/>
      <c r="H84" s="18"/>
      <c r="I84" s="18">
        <v>0.2141858297078931</v>
      </c>
      <c r="J84" s="18">
        <v>0.2141858297078931</v>
      </c>
    </row>
    <row r="85" spans="1:10" x14ac:dyDescent="0.3">
      <c r="A85" s="16" t="s">
        <v>14</v>
      </c>
      <c r="B85" s="18">
        <v>0.31181286549707604</v>
      </c>
      <c r="C85" s="18">
        <v>0.25101214574898784</v>
      </c>
      <c r="D85" s="18">
        <v>0.26611037094172918</v>
      </c>
      <c r="E85" s="18">
        <v>0.2335279399499583</v>
      </c>
      <c r="F85" s="18">
        <v>0.10910621917478648</v>
      </c>
      <c r="G85" s="18">
        <v>0.12750548646671545</v>
      </c>
      <c r="H85" s="18"/>
      <c r="I85" s="18"/>
      <c r="J85" s="18">
        <v>0.21651250462987556</v>
      </c>
    </row>
    <row r="86" spans="1:10" x14ac:dyDescent="0.3">
      <c r="A86" s="16" t="s">
        <v>127</v>
      </c>
      <c r="B86" s="18"/>
      <c r="C86" s="18"/>
      <c r="D86" s="18"/>
      <c r="E86" s="18"/>
      <c r="F86" s="18"/>
      <c r="G86" s="18"/>
      <c r="H86" s="18">
        <v>0.20634335238797713</v>
      </c>
      <c r="I86" s="18">
        <v>0.231768338124135</v>
      </c>
      <c r="J86" s="18">
        <v>0.21905584525605606</v>
      </c>
    </row>
    <row r="87" spans="1:10" x14ac:dyDescent="0.3">
      <c r="A87" s="16" t="s">
        <v>55</v>
      </c>
      <c r="B87" s="18"/>
      <c r="C87" s="18">
        <v>0.22046266107747245</v>
      </c>
      <c r="D87" s="18"/>
      <c r="E87" s="18"/>
      <c r="F87" s="18"/>
      <c r="G87" s="18"/>
      <c r="H87" s="18"/>
      <c r="I87" s="18"/>
      <c r="J87" s="18">
        <v>0.22046266107747245</v>
      </c>
    </row>
    <row r="88" spans="1:10" x14ac:dyDescent="0.3">
      <c r="A88" s="16" t="s">
        <v>135</v>
      </c>
      <c r="B88" s="18"/>
      <c r="C88" s="18"/>
      <c r="D88" s="18"/>
      <c r="E88" s="18"/>
      <c r="F88" s="18"/>
      <c r="G88" s="18"/>
      <c r="H88" s="18"/>
      <c r="I88" s="18">
        <v>0.22266784310579932</v>
      </c>
      <c r="J88" s="18">
        <v>0.22266784310579932</v>
      </c>
    </row>
    <row r="89" spans="1:10" x14ac:dyDescent="0.3">
      <c r="A89" s="16" t="s">
        <v>93</v>
      </c>
      <c r="B89" s="18"/>
      <c r="C89" s="18"/>
      <c r="D89" s="18"/>
      <c r="E89" s="18">
        <v>0.16483588335294888</v>
      </c>
      <c r="F89" s="18">
        <v>0.25448599698138519</v>
      </c>
      <c r="G89" s="18">
        <v>0.32587763289869609</v>
      </c>
      <c r="H89" s="18">
        <v>0.2405470128560625</v>
      </c>
      <c r="I89" s="18">
        <v>0.14944423762165612</v>
      </c>
      <c r="J89" s="18">
        <v>0.22703815274214975</v>
      </c>
    </row>
    <row r="90" spans="1:10" x14ac:dyDescent="0.3">
      <c r="A90" s="16" t="s">
        <v>132</v>
      </c>
      <c r="B90" s="18"/>
      <c r="C90" s="18"/>
      <c r="D90" s="18"/>
      <c r="E90" s="18"/>
      <c r="F90" s="18"/>
      <c r="G90" s="18"/>
      <c r="H90" s="18"/>
      <c r="I90" s="18">
        <v>0.22764360313315926</v>
      </c>
      <c r="J90" s="18">
        <v>0.22764360313315926</v>
      </c>
    </row>
    <row r="91" spans="1:10" x14ac:dyDescent="0.3">
      <c r="A91" s="16" t="s">
        <v>117</v>
      </c>
      <c r="B91" s="18"/>
      <c r="C91" s="18"/>
      <c r="D91" s="18"/>
      <c r="E91" s="18"/>
      <c r="F91" s="18"/>
      <c r="G91" s="18">
        <v>0.12581412178228057</v>
      </c>
      <c r="H91" s="18">
        <v>0.29125419291499632</v>
      </c>
      <c r="I91" s="18">
        <v>0.2774238657551274</v>
      </c>
      <c r="J91" s="18">
        <v>0.23149739348413476</v>
      </c>
    </row>
    <row r="92" spans="1:10" x14ac:dyDescent="0.3">
      <c r="A92" s="16" t="s">
        <v>104</v>
      </c>
      <c r="B92" s="18"/>
      <c r="C92" s="18"/>
      <c r="D92" s="18"/>
      <c r="E92" s="18"/>
      <c r="F92" s="18">
        <v>0.35797752808988764</v>
      </c>
      <c r="G92" s="18">
        <v>0.10906647368965161</v>
      </c>
      <c r="H92" s="18"/>
      <c r="I92" s="18"/>
      <c r="J92" s="18">
        <v>0.23352200088976963</v>
      </c>
    </row>
    <row r="93" spans="1:10" x14ac:dyDescent="0.3">
      <c r="A93" s="16" t="s">
        <v>39</v>
      </c>
      <c r="B93" s="18">
        <v>0.25251084934903906</v>
      </c>
      <c r="C93" s="18">
        <v>0.25772495755517827</v>
      </c>
      <c r="D93" s="18"/>
      <c r="E93" s="18"/>
      <c r="F93" s="18">
        <v>0.21708871373469729</v>
      </c>
      <c r="G93" s="18"/>
      <c r="H93" s="18"/>
      <c r="I93" s="18"/>
      <c r="J93" s="18">
        <v>0.2424415068796382</v>
      </c>
    </row>
    <row r="94" spans="1:10" x14ac:dyDescent="0.3">
      <c r="A94" s="16" t="s">
        <v>80</v>
      </c>
      <c r="B94" s="18"/>
      <c r="C94" s="18"/>
      <c r="D94" s="18">
        <v>0.24905971929180809</v>
      </c>
      <c r="E94" s="18">
        <v>0.23778264040846098</v>
      </c>
      <c r="F94" s="18"/>
      <c r="G94" s="18"/>
      <c r="H94" s="18"/>
      <c r="I94" s="18"/>
      <c r="J94" s="18">
        <v>0.24342117985013453</v>
      </c>
    </row>
    <row r="95" spans="1:10" x14ac:dyDescent="0.3">
      <c r="A95" s="16" t="s">
        <v>101</v>
      </c>
      <c r="B95" s="18"/>
      <c r="C95" s="18"/>
      <c r="D95" s="18"/>
      <c r="E95" s="18"/>
      <c r="F95" s="18">
        <v>0.33053193593039354</v>
      </c>
      <c r="G95" s="18">
        <v>0.28616328095055577</v>
      </c>
      <c r="H95" s="18">
        <v>0.24224855054197125</v>
      </c>
      <c r="I95" s="18">
        <v>0.13875445407647716</v>
      </c>
      <c r="J95" s="18">
        <v>0.24942455537484942</v>
      </c>
    </row>
    <row r="96" spans="1:10" x14ac:dyDescent="0.3">
      <c r="A96" s="16" t="s">
        <v>125</v>
      </c>
      <c r="B96" s="18"/>
      <c r="C96" s="18"/>
      <c r="D96" s="18"/>
      <c r="E96" s="18"/>
      <c r="F96" s="18"/>
      <c r="G96" s="18"/>
      <c r="H96" s="18">
        <v>0.25132946085249119</v>
      </c>
      <c r="I96" s="18">
        <v>0.25706960845245497</v>
      </c>
      <c r="J96" s="18">
        <v>0.25419953465247308</v>
      </c>
    </row>
    <row r="97" spans="1:10" x14ac:dyDescent="0.3">
      <c r="A97" s="16" t="s">
        <v>121</v>
      </c>
      <c r="B97" s="18"/>
      <c r="C97" s="18"/>
      <c r="D97" s="18"/>
      <c r="E97" s="18"/>
      <c r="F97" s="18"/>
      <c r="G97" s="18"/>
      <c r="H97" s="18">
        <v>0.31469720010734414</v>
      </c>
      <c r="I97" s="18">
        <v>0.19492493472584857</v>
      </c>
      <c r="J97" s="18">
        <v>0.25481106741659637</v>
      </c>
    </row>
    <row r="98" spans="1:10" x14ac:dyDescent="0.3">
      <c r="A98" s="16" t="s">
        <v>49</v>
      </c>
      <c r="B98" s="18">
        <v>0.26852221070260784</v>
      </c>
      <c r="C98" s="18">
        <v>0.25927378244843541</v>
      </c>
      <c r="D98" s="18">
        <v>0.26231122783978988</v>
      </c>
      <c r="E98" s="18">
        <v>0.26043519912412755</v>
      </c>
      <c r="F98" s="18">
        <v>0.26352765321375188</v>
      </c>
      <c r="G98" s="18">
        <v>0.30533732890580706</v>
      </c>
      <c r="H98" s="18">
        <v>0.27512446985063616</v>
      </c>
      <c r="I98" s="18">
        <v>0.22463536676248269</v>
      </c>
      <c r="J98" s="18">
        <v>0.26489590485595477</v>
      </c>
    </row>
    <row r="99" spans="1:10" x14ac:dyDescent="0.3">
      <c r="A99" s="16" t="s">
        <v>16</v>
      </c>
      <c r="B99" s="18">
        <v>0.25606237816764132</v>
      </c>
      <c r="C99" s="18">
        <v>0.32201229569650625</v>
      </c>
      <c r="D99" s="18">
        <v>0.25033307622186385</v>
      </c>
      <c r="E99" s="18">
        <v>0.26035585209897139</v>
      </c>
      <c r="F99" s="18">
        <v>0.2361963190184049</v>
      </c>
      <c r="G99" s="18"/>
      <c r="H99" s="18"/>
      <c r="I99" s="18"/>
      <c r="J99" s="18">
        <v>0.26499198424067755</v>
      </c>
    </row>
    <row r="100" spans="1:10" x14ac:dyDescent="0.3">
      <c r="A100" s="16" t="s">
        <v>21</v>
      </c>
      <c r="B100" s="18">
        <v>0.44169213447000161</v>
      </c>
      <c r="C100" s="18">
        <v>0.25826734979040522</v>
      </c>
      <c r="D100" s="18">
        <v>0.23594165672874048</v>
      </c>
      <c r="E100" s="18">
        <v>0.19807115649566415</v>
      </c>
      <c r="F100" s="18">
        <v>0.20763298398259838</v>
      </c>
      <c r="G100" s="18"/>
      <c r="H100" s="18"/>
      <c r="I100" s="18"/>
      <c r="J100" s="18">
        <v>0.26832105629348196</v>
      </c>
    </row>
    <row r="101" spans="1:10" x14ac:dyDescent="0.3">
      <c r="A101" s="16" t="s">
        <v>40</v>
      </c>
      <c r="B101" s="18">
        <v>0.16633601983880966</v>
      </c>
      <c r="C101" s="18">
        <v>0.27852292020373515</v>
      </c>
      <c r="D101" s="18">
        <v>0.26042764643878935</v>
      </c>
      <c r="E101" s="18">
        <v>0.30900007456565504</v>
      </c>
      <c r="F101" s="18">
        <v>0.18617977528089888</v>
      </c>
      <c r="G101" s="18">
        <v>0.44319239119197767</v>
      </c>
      <c r="H101" s="18">
        <v>0.24920232348850527</v>
      </c>
      <c r="I101" s="18"/>
      <c r="J101" s="18">
        <v>0.27040873585833874</v>
      </c>
    </row>
    <row r="102" spans="1:10" x14ac:dyDescent="0.3">
      <c r="A102" s="16" t="s">
        <v>114</v>
      </c>
      <c r="B102" s="18"/>
      <c r="C102" s="18"/>
      <c r="D102" s="18"/>
      <c r="E102" s="18"/>
      <c r="F102" s="18"/>
      <c r="G102" s="18">
        <v>0.24495625781110517</v>
      </c>
      <c r="H102" s="18">
        <v>0.2774020955636472</v>
      </c>
      <c r="I102" s="18">
        <v>0.30295981390871901</v>
      </c>
      <c r="J102" s="18">
        <v>0.2751060557611571</v>
      </c>
    </row>
    <row r="103" spans="1:10" x14ac:dyDescent="0.3">
      <c r="A103" s="16" t="s">
        <v>27</v>
      </c>
      <c r="B103" s="18">
        <v>0.32446112226197749</v>
      </c>
      <c r="C103" s="18">
        <v>0.23376390383925369</v>
      </c>
      <c r="D103" s="18"/>
      <c r="E103" s="18"/>
      <c r="F103" s="18"/>
      <c r="G103" s="18"/>
      <c r="H103" s="18"/>
      <c r="I103" s="18"/>
      <c r="J103" s="18">
        <v>0.27911251305061557</v>
      </c>
    </row>
    <row r="104" spans="1:10" x14ac:dyDescent="0.3">
      <c r="A104" s="16" t="s">
        <v>15</v>
      </c>
      <c r="B104" s="18">
        <v>0.30619883040935675</v>
      </c>
      <c r="C104" s="18">
        <v>0.32471135102714049</v>
      </c>
      <c r="D104" s="18">
        <v>0.27129934787181825</v>
      </c>
      <c r="E104" s="18">
        <v>0.29184042257436754</v>
      </c>
      <c r="F104" s="18">
        <v>0.24106820642367377</v>
      </c>
      <c r="G104" s="18">
        <v>0.31397220190197511</v>
      </c>
      <c r="H104" s="18">
        <v>0.2149231191652938</v>
      </c>
      <c r="I104" s="18">
        <v>0.29975298751585555</v>
      </c>
      <c r="J104" s="18">
        <v>0.28297080836118516</v>
      </c>
    </row>
    <row r="105" spans="1:10" x14ac:dyDescent="0.3">
      <c r="A105" s="16" t="s">
        <v>47</v>
      </c>
      <c r="B105" s="18">
        <v>0.31469814179759154</v>
      </c>
      <c r="C105" s="18">
        <v>0.26186181475962672</v>
      </c>
      <c r="D105" s="18">
        <v>0.24926132632961262</v>
      </c>
      <c r="E105" s="18">
        <v>0.25920350348980431</v>
      </c>
      <c r="F105" s="18">
        <v>0.31457399103139011</v>
      </c>
      <c r="G105" s="18">
        <v>0.34818174455333278</v>
      </c>
      <c r="H105" s="18"/>
      <c r="I105" s="18"/>
      <c r="J105" s="18">
        <v>0.29129675366022634</v>
      </c>
    </row>
    <row r="106" spans="1:10" x14ac:dyDescent="0.3">
      <c r="A106" s="16" t="s">
        <v>141</v>
      </c>
      <c r="B106" s="18">
        <v>0.17647058823529413</v>
      </c>
      <c r="C106" s="18">
        <v>0.17647058823529413</v>
      </c>
      <c r="D106" s="18">
        <v>0.1764705882352941</v>
      </c>
      <c r="E106" s="18">
        <v>0.16216216216216217</v>
      </c>
      <c r="F106" s="18">
        <v>0.16666666666666671</v>
      </c>
      <c r="G106" s="18">
        <v>0.18181818181818177</v>
      </c>
      <c r="H106" s="18">
        <v>0.1875</v>
      </c>
      <c r="I106" s="18">
        <v>0.16666666666666666</v>
      </c>
      <c r="J106" s="18">
        <v>0.17391304347826084</v>
      </c>
    </row>
  </sheetData>
  <conditionalFormatting pivot="1" sqref="B5:B105">
    <cfRule type="top10" dxfId="19" priority="8" percent="1" rank="10"/>
  </conditionalFormatting>
  <conditionalFormatting pivot="1" sqref="C5:C105">
    <cfRule type="top10" dxfId="18" priority="7" percent="1" rank="10"/>
  </conditionalFormatting>
  <conditionalFormatting pivot="1" sqref="D5:D105">
    <cfRule type="top10" dxfId="17" priority="6" percent="1" rank="10"/>
  </conditionalFormatting>
  <conditionalFormatting pivot="1" sqref="E5:E105">
    <cfRule type="top10" dxfId="16" priority="5" percent="1" rank="10"/>
  </conditionalFormatting>
  <conditionalFormatting pivot="1" sqref="F5:F105">
    <cfRule type="top10" dxfId="15" priority="4" percent="1" rank="10"/>
  </conditionalFormatting>
  <conditionalFormatting pivot="1" sqref="G5:G105">
    <cfRule type="top10" dxfId="14" priority="3" percent="1" rank="10"/>
  </conditionalFormatting>
  <conditionalFormatting pivot="1" sqref="H5:H105">
    <cfRule type="top10" dxfId="13" priority="2" percent="1" rank="10"/>
  </conditionalFormatting>
  <conditionalFormatting pivot="1" sqref="I5:I105">
    <cfRule type="top10" dxfId="12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Flatsheet</vt:lpstr>
      <vt:lpstr>Goals_Pivot</vt:lpstr>
      <vt:lpstr>G+Aper90_Pivot</vt:lpstr>
      <vt:lpstr>G+AShare_Pivot</vt:lpstr>
      <vt:lpstr>MinutesShare_Pivot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sanyam jain</dc:creator>
  <cp:lastModifiedBy>sanyam jain</cp:lastModifiedBy>
  <dcterms:created xsi:type="dcterms:W3CDTF">2026-01-23T18:35:30Z</dcterms:created>
  <dcterms:modified xsi:type="dcterms:W3CDTF">2026-04-17T19:40:13Z</dcterms:modified>
</cp:coreProperties>
</file>