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1ef5655920d6e/Desktop/college YJ/"/>
    </mc:Choice>
  </mc:AlternateContent>
  <xr:revisionPtr revIDLastSave="1" documentId="14_{07BFD882-69F5-46F4-B3A5-40D45CC32D71}" xr6:coauthVersionLast="47" xr6:coauthVersionMax="47" xr10:uidLastSave="{7382AC3D-7CA3-448E-89AC-E58041238C21}"/>
  <bookViews>
    <workbookView xWindow="-108" yWindow="-108" windowWidth="23256" windowHeight="12456" xr2:uid="{48E2D8C7-A1C8-4CDF-B326-27A746E3F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4" i="1" l="1"/>
  <c r="AQ5" i="1"/>
  <c r="AQ6" i="1"/>
  <c r="AQ7" i="1"/>
  <c r="AQ9" i="1"/>
  <c r="AQ10" i="1"/>
  <c r="AQ11" i="1"/>
  <c r="AQ12" i="1"/>
  <c r="AQ13" i="1"/>
  <c r="AQ16" i="1"/>
  <c r="AQ17" i="1"/>
  <c r="AQ18" i="1"/>
  <c r="AQ21" i="1"/>
  <c r="AQ22" i="1"/>
  <c r="AQ23" i="1"/>
  <c r="AQ24" i="1"/>
  <c r="AQ3" i="1"/>
  <c r="AJ24" i="1"/>
  <c r="X24" i="1"/>
  <c r="U3" i="1"/>
  <c r="U23" i="1"/>
  <c r="X23" i="1" s="1"/>
  <c r="AC23" i="1" s="1"/>
  <c r="U22" i="1"/>
  <c r="U21" i="1"/>
  <c r="U19" i="1"/>
  <c r="U18" i="1"/>
  <c r="U17" i="1"/>
  <c r="U16" i="1"/>
  <c r="U13" i="1"/>
  <c r="U12" i="1"/>
  <c r="U11" i="1"/>
  <c r="U10" i="1"/>
  <c r="U9" i="1"/>
  <c r="U8" i="1"/>
  <c r="U7" i="1"/>
  <c r="U6" i="1"/>
  <c r="U5" i="1"/>
  <c r="U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X21" i="1" s="1"/>
  <c r="AC21" i="1" s="1"/>
  <c r="K22" i="1"/>
  <c r="K23" i="1"/>
  <c r="K3" i="1"/>
  <c r="G25" i="1"/>
  <c r="J4" i="1" s="1"/>
  <c r="P25" i="1"/>
  <c r="S6" i="1" s="1"/>
  <c r="Q25" i="1"/>
  <c r="T5" i="1" s="1"/>
  <c r="O25" i="1"/>
  <c r="R10" i="1" s="1"/>
  <c r="E25" i="1"/>
  <c r="H4" i="1" s="1"/>
  <c r="F25" i="1"/>
  <c r="I6" i="1" s="1"/>
  <c r="AH6" i="1" l="1"/>
  <c r="AJ6" i="1" s="1"/>
  <c r="T12" i="1"/>
  <c r="AG25" i="1"/>
  <c r="AH25" i="1"/>
  <c r="X17" i="1"/>
  <c r="AC17" i="1" s="1"/>
  <c r="T11" i="1"/>
  <c r="T4" i="1"/>
  <c r="Y4" i="1" s="1"/>
  <c r="T3" i="1"/>
  <c r="T23" i="1"/>
  <c r="Y23" i="1" s="1"/>
  <c r="T22" i="1"/>
  <c r="T21" i="1"/>
  <c r="T10" i="1"/>
  <c r="T19" i="1"/>
  <c r="T9" i="1"/>
  <c r="T7" i="1"/>
  <c r="T16" i="1"/>
  <c r="T6" i="1"/>
  <c r="X19" i="1"/>
  <c r="AC19" i="1" s="1"/>
  <c r="T18" i="1"/>
  <c r="T8" i="1"/>
  <c r="T17" i="1"/>
  <c r="X8" i="1"/>
  <c r="AC8" i="1" s="1"/>
  <c r="T24" i="1"/>
  <c r="T13" i="1"/>
  <c r="X18" i="1"/>
  <c r="AC18" i="1" s="1"/>
  <c r="J19" i="1"/>
  <c r="J11" i="1"/>
  <c r="J18" i="1"/>
  <c r="J8" i="1"/>
  <c r="J9" i="1"/>
  <c r="Y9" i="1" s="1"/>
  <c r="J16" i="1"/>
  <c r="J24" i="1"/>
  <c r="J15" i="1"/>
  <c r="J7" i="1"/>
  <c r="J17" i="1"/>
  <c r="J22" i="1"/>
  <c r="J14" i="1"/>
  <c r="J6" i="1"/>
  <c r="J10" i="1"/>
  <c r="J3" i="1"/>
  <c r="Y3" i="1" s="1"/>
  <c r="J21" i="1"/>
  <c r="J13" i="1"/>
  <c r="J5" i="1"/>
  <c r="Y5" i="1" s="1"/>
  <c r="J20" i="1"/>
  <c r="J12" i="1"/>
  <c r="X16" i="1"/>
  <c r="AC16" i="1" s="1"/>
  <c r="X7" i="1"/>
  <c r="AC7" i="1" s="1"/>
  <c r="X6" i="1"/>
  <c r="AC6" i="1" s="1"/>
  <c r="X22" i="1"/>
  <c r="AC22" i="1" s="1"/>
  <c r="X10" i="1"/>
  <c r="AC10" i="1" s="1"/>
  <c r="X11" i="1"/>
  <c r="AC11" i="1" s="1"/>
  <c r="H24" i="1"/>
  <c r="X9" i="1"/>
  <c r="AC9" i="1" s="1"/>
  <c r="S12" i="1"/>
  <c r="S11" i="1"/>
  <c r="W6" i="1"/>
  <c r="AL6" i="1" s="1"/>
  <c r="X13" i="1"/>
  <c r="AC13" i="1" s="1"/>
  <c r="X5" i="1"/>
  <c r="AC5" i="1" s="1"/>
  <c r="S23" i="1"/>
  <c r="R7" i="1"/>
  <c r="X12" i="1"/>
  <c r="AC12" i="1" s="1"/>
  <c r="X4" i="1"/>
  <c r="AC4" i="1" s="1"/>
  <c r="S22" i="1"/>
  <c r="AE25" i="1"/>
  <c r="AP25" i="1" s="1"/>
  <c r="H18" i="1"/>
  <c r="R18" i="1"/>
  <c r="S4" i="1"/>
  <c r="X3" i="1"/>
  <c r="AC3" i="1" s="1"/>
  <c r="R17" i="1"/>
  <c r="R8" i="1"/>
  <c r="R19" i="1"/>
  <c r="R9" i="1"/>
  <c r="S24" i="1"/>
  <c r="S13" i="1"/>
  <c r="S5" i="1"/>
  <c r="I21" i="1"/>
  <c r="R16" i="1"/>
  <c r="R6" i="1"/>
  <c r="S21" i="1"/>
  <c r="S10" i="1"/>
  <c r="V25" i="1"/>
  <c r="AD25" i="1" s="1"/>
  <c r="AO25" i="1" s="1"/>
  <c r="I13" i="1"/>
  <c r="W13" i="1" s="1"/>
  <c r="R3" i="1"/>
  <c r="R13" i="1"/>
  <c r="R5" i="1"/>
  <c r="S19" i="1"/>
  <c r="S9" i="1"/>
  <c r="W25" i="1"/>
  <c r="R23" i="1"/>
  <c r="R12" i="1"/>
  <c r="R4" i="1"/>
  <c r="S18" i="1"/>
  <c r="S8" i="1"/>
  <c r="R22" i="1"/>
  <c r="R11" i="1"/>
  <c r="R24" i="1"/>
  <c r="S17" i="1"/>
  <c r="S7" i="1"/>
  <c r="R21" i="1"/>
  <c r="S3" i="1"/>
  <c r="S16" i="1"/>
  <c r="I5" i="1"/>
  <c r="I20" i="1"/>
  <c r="H17" i="1"/>
  <c r="I19" i="1"/>
  <c r="I11" i="1"/>
  <c r="H16" i="1"/>
  <c r="I18" i="1"/>
  <c r="W18" i="1" s="1"/>
  <c r="I10" i="1"/>
  <c r="I4" i="1"/>
  <c r="I3" i="1"/>
  <c r="I9" i="1"/>
  <c r="I16" i="1"/>
  <c r="I8" i="1"/>
  <c r="I12" i="1"/>
  <c r="I17" i="1"/>
  <c r="I24" i="1"/>
  <c r="I23" i="1"/>
  <c r="I15" i="1"/>
  <c r="I7" i="1"/>
  <c r="H3" i="1"/>
  <c r="I22" i="1"/>
  <c r="I14" i="1"/>
  <c r="H22" i="1"/>
  <c r="H14" i="1"/>
  <c r="H21" i="1"/>
  <c r="H13" i="1"/>
  <c r="H20" i="1"/>
  <c r="H12" i="1"/>
  <c r="H19" i="1"/>
  <c r="H11" i="1"/>
  <c r="H10" i="1"/>
  <c r="H9" i="1"/>
  <c r="H8" i="1"/>
  <c r="V8" i="1" s="1"/>
  <c r="H23" i="1"/>
  <c r="H15" i="1"/>
  <c r="H7" i="1"/>
  <c r="H6" i="1"/>
  <c r="H5" i="1"/>
  <c r="AG3" i="1" l="1"/>
  <c r="AI3" i="1" s="1"/>
  <c r="AG18" i="1"/>
  <c r="AI18" i="1" s="1"/>
  <c r="AG24" i="1"/>
  <c r="AI24" i="1" s="1"/>
  <c r="AH10" i="1"/>
  <c r="AJ10" i="1" s="1"/>
  <c r="AG9" i="1"/>
  <c r="AI9" i="1" s="1"/>
  <c r="Y17" i="1"/>
  <c r="AG12" i="1"/>
  <c r="AI12" i="1" s="1"/>
  <c r="AG22" i="1"/>
  <c r="AI22" i="1" s="1"/>
  <c r="Y12" i="1"/>
  <c r="AH4" i="1"/>
  <c r="AJ4" i="1" s="1"/>
  <c r="Y11" i="1"/>
  <c r="Y13" i="1"/>
  <c r="AH5" i="1"/>
  <c r="AJ5" i="1" s="1"/>
  <c r="AH21" i="1"/>
  <c r="AJ21" i="1" s="1"/>
  <c r="AL21" i="1" s="1"/>
  <c r="AH13" i="1"/>
  <c r="AJ13" i="1" s="1"/>
  <c r="AL13" i="1" s="1"/>
  <c r="Y7" i="1"/>
  <c r="Y19" i="1"/>
  <c r="AH7" i="1"/>
  <c r="AJ7" i="1" s="1"/>
  <c r="Y24" i="1"/>
  <c r="V23" i="1"/>
  <c r="AG23" i="1"/>
  <c r="AI23" i="1" s="1"/>
  <c r="AG11" i="1"/>
  <c r="AI11" i="1" s="1"/>
  <c r="AH22" i="1"/>
  <c r="AJ22" i="1" s="1"/>
  <c r="AH11" i="1"/>
  <c r="AJ11" i="1" s="1"/>
  <c r="V4" i="1"/>
  <c r="AG4" i="1"/>
  <c r="AI4" i="1" s="1"/>
  <c r="W23" i="1"/>
  <c r="AH23" i="1"/>
  <c r="AJ23" i="1" s="1"/>
  <c r="AG6" i="1"/>
  <c r="AI6" i="1" s="1"/>
  <c r="AH16" i="1"/>
  <c r="AJ16" i="1" s="1"/>
  <c r="AG5" i="1"/>
  <c r="AI5" i="1" s="1"/>
  <c r="AG16" i="1"/>
  <c r="AI16" i="1" s="1"/>
  <c r="AG17" i="1"/>
  <c r="AI17" i="1" s="1"/>
  <c r="V10" i="1"/>
  <c r="AG10" i="1"/>
  <c r="AI10" i="1" s="1"/>
  <c r="AH3" i="1"/>
  <c r="AJ3" i="1" s="1"/>
  <c r="AG7" i="1"/>
  <c r="AI7" i="1" s="1"/>
  <c r="Y22" i="1"/>
  <c r="Y18" i="1"/>
  <c r="Y21" i="1"/>
  <c r="Y10" i="1"/>
  <c r="Y16" i="1"/>
  <c r="Y6" i="1"/>
  <c r="Y8" i="1"/>
  <c r="V24" i="1"/>
  <c r="V7" i="1"/>
  <c r="W4" i="1"/>
  <c r="W10" i="1"/>
  <c r="W21" i="1"/>
  <c r="V9" i="1"/>
  <c r="AK9" i="1" s="1"/>
  <c r="V11" i="1"/>
  <c r="V19" i="1"/>
  <c r="AF25" i="1"/>
  <c r="AQ25" i="1" s="1"/>
  <c r="W9" i="1"/>
  <c r="W24" i="1"/>
  <c r="AL24" i="1" s="1"/>
  <c r="W12" i="1"/>
  <c r="W22" i="1"/>
  <c r="W11" i="1"/>
  <c r="V16" i="1"/>
  <c r="W8" i="1"/>
  <c r="V17" i="1"/>
  <c r="V5" i="1"/>
  <c r="V21" i="1"/>
  <c r="W5" i="1"/>
  <c r="AL5" i="1" s="1"/>
  <c r="V18" i="1"/>
  <c r="AK18" i="1" s="1"/>
  <c r="V22" i="1"/>
  <c r="W17" i="1"/>
  <c r="V6" i="1"/>
  <c r="AK6" i="1" s="1"/>
  <c r="V12" i="1"/>
  <c r="AK12" i="1" s="1"/>
  <c r="W16" i="1"/>
  <c r="V3" i="1"/>
  <c r="W19" i="1"/>
  <c r="W7" i="1"/>
  <c r="V13" i="1"/>
  <c r="W3" i="1"/>
  <c r="AL10" i="1" l="1"/>
  <c r="AK24" i="1"/>
  <c r="AL3" i="1"/>
  <c r="AK10" i="1"/>
  <c r="AL4" i="1"/>
  <c r="AL16" i="1"/>
  <c r="AK5" i="1"/>
  <c r="AK7" i="1"/>
  <c r="AK11" i="1"/>
  <c r="AK16" i="1"/>
  <c r="AK22" i="1"/>
  <c r="AK3" i="1"/>
  <c r="AK17" i="1"/>
  <c r="AK4" i="1"/>
  <c r="AQ26" i="1"/>
  <c r="AK23" i="1"/>
  <c r="AL11" i="1"/>
  <c r="AL7" i="1"/>
  <c r="AL22" i="1"/>
  <c r="AL23" i="1"/>
  <c r="Y26" i="1"/>
  <c r="AB21" i="1" s="1"/>
  <c r="AF21" i="1" s="1"/>
  <c r="AF20" i="1"/>
  <c r="AF14" i="1"/>
  <c r="AF15" i="1"/>
  <c r="V26" i="1"/>
  <c r="Z3" i="1" s="1"/>
  <c r="W26" i="1"/>
  <c r="AA12" i="1" s="1"/>
  <c r="AE12" i="1" s="1"/>
  <c r="AB10" i="1" l="1"/>
  <c r="AF10" i="1" s="1"/>
  <c r="AB18" i="1"/>
  <c r="AF18" i="1" s="1"/>
  <c r="AK26" i="1"/>
  <c r="AM23" i="1" s="1"/>
  <c r="AO23" i="1" s="1"/>
  <c r="AL26" i="1"/>
  <c r="AN11" i="1" s="1"/>
  <c r="AP11" i="1" s="1"/>
  <c r="AB5" i="1"/>
  <c r="AF5" i="1" s="1"/>
  <c r="AB3" i="1"/>
  <c r="AB12" i="1"/>
  <c r="AF12" i="1" s="1"/>
  <c r="AB13" i="1"/>
  <c r="AF13" i="1" s="1"/>
  <c r="AB17" i="1"/>
  <c r="AF17" i="1" s="1"/>
  <c r="AB7" i="1"/>
  <c r="AF7" i="1" s="1"/>
  <c r="AB4" i="1"/>
  <c r="AF4" i="1" s="1"/>
  <c r="AB9" i="1"/>
  <c r="AF9" i="1" s="1"/>
  <c r="AB19" i="1"/>
  <c r="AF19" i="1" s="1"/>
  <c r="AB24" i="1"/>
  <c r="AF24" i="1" s="1"/>
  <c r="AB23" i="1"/>
  <c r="AF23" i="1" s="1"/>
  <c r="AB11" i="1"/>
  <c r="AF11" i="1" s="1"/>
  <c r="AB22" i="1"/>
  <c r="AF22" i="1" s="1"/>
  <c r="AB16" i="1"/>
  <c r="AF16" i="1" s="1"/>
  <c r="AB6" i="1"/>
  <c r="AF6" i="1" s="1"/>
  <c r="AB8" i="1"/>
  <c r="AF8" i="1" s="1"/>
  <c r="AA22" i="1"/>
  <c r="AE22" i="1" s="1"/>
  <c r="AA24" i="1"/>
  <c r="AE24" i="1" s="1"/>
  <c r="AA9" i="1"/>
  <c r="AE9" i="1" s="1"/>
  <c r="AA19" i="1"/>
  <c r="AE19" i="1" s="1"/>
  <c r="AA7" i="1"/>
  <c r="AE7" i="1" s="1"/>
  <c r="AA11" i="1"/>
  <c r="AE11" i="1" s="1"/>
  <c r="AA8" i="1"/>
  <c r="AE8" i="1" s="1"/>
  <c r="AA3" i="1"/>
  <c r="AE3" i="1" s="1"/>
  <c r="Z11" i="1"/>
  <c r="AD11" i="1" s="1"/>
  <c r="Z23" i="1"/>
  <c r="AD23" i="1" s="1"/>
  <c r="Z10" i="1"/>
  <c r="AD10" i="1" s="1"/>
  <c r="Z9" i="1"/>
  <c r="AD9" i="1" s="1"/>
  <c r="Z4" i="1"/>
  <c r="AD4" i="1" s="1"/>
  <c r="Z7" i="1"/>
  <c r="AD7" i="1" s="1"/>
  <c r="Z8" i="1"/>
  <c r="AD8" i="1" s="1"/>
  <c r="Z24" i="1"/>
  <c r="AD24" i="1" s="1"/>
  <c r="Z17" i="1"/>
  <c r="AD17" i="1" s="1"/>
  <c r="Z6" i="1"/>
  <c r="AD6" i="1" s="1"/>
  <c r="Z18" i="1"/>
  <c r="AD18" i="1" s="1"/>
  <c r="AA16" i="1"/>
  <c r="AE16" i="1" s="1"/>
  <c r="Z12" i="1"/>
  <c r="AD12" i="1" s="1"/>
  <c r="Z5" i="1"/>
  <c r="AD5" i="1" s="1"/>
  <c r="Z13" i="1"/>
  <c r="AD13" i="1" s="1"/>
  <c r="Z19" i="1"/>
  <c r="AD19" i="1" s="1"/>
  <c r="Z22" i="1"/>
  <c r="AD22" i="1" s="1"/>
  <c r="Z21" i="1"/>
  <c r="AD21" i="1" s="1"/>
  <c r="AA13" i="1"/>
  <c r="AE13" i="1" s="1"/>
  <c r="AA23" i="1"/>
  <c r="AE23" i="1" s="1"/>
  <c r="AA18" i="1"/>
  <c r="AE18" i="1" s="1"/>
  <c r="AA6" i="1"/>
  <c r="AE6" i="1" s="1"/>
  <c r="AA10" i="1"/>
  <c r="AE10" i="1" s="1"/>
  <c r="AA21" i="1"/>
  <c r="AE21" i="1" s="1"/>
  <c r="AA4" i="1"/>
  <c r="AE4" i="1" s="1"/>
  <c r="AA17" i="1"/>
  <c r="AE17" i="1" s="1"/>
  <c r="Z16" i="1"/>
  <c r="AD16" i="1" s="1"/>
  <c r="AA5" i="1"/>
  <c r="AE5" i="1" s="1"/>
  <c r="AM4" i="1" l="1"/>
  <c r="AO4" i="1" s="1"/>
  <c r="AM3" i="1"/>
  <c r="AN23" i="1"/>
  <c r="AP23" i="1" s="1"/>
  <c r="AM9" i="1"/>
  <c r="AO9" i="1" s="1"/>
  <c r="AM24" i="1"/>
  <c r="AO24" i="1" s="1"/>
  <c r="AM6" i="1"/>
  <c r="AO6" i="1" s="1"/>
  <c r="AM5" i="1"/>
  <c r="AO5" i="1" s="1"/>
  <c r="AM12" i="1"/>
  <c r="AO12" i="1" s="1"/>
  <c r="AM7" i="1"/>
  <c r="AO7" i="1" s="1"/>
  <c r="AM11" i="1"/>
  <c r="AO11" i="1" s="1"/>
  <c r="AM22" i="1"/>
  <c r="AO22" i="1" s="1"/>
  <c r="AM18" i="1"/>
  <c r="AO18" i="1" s="1"/>
  <c r="AM10" i="1"/>
  <c r="AO10" i="1" s="1"/>
  <c r="AM16" i="1"/>
  <c r="AO16" i="1" s="1"/>
  <c r="AM17" i="1"/>
  <c r="AO17" i="1" s="1"/>
  <c r="AN7" i="1"/>
  <c r="AP7" i="1" s="1"/>
  <c r="AN6" i="1"/>
  <c r="AP6" i="1" s="1"/>
  <c r="AN21" i="1"/>
  <c r="AP21" i="1" s="1"/>
  <c r="AN13" i="1"/>
  <c r="AP13" i="1" s="1"/>
  <c r="AN16" i="1"/>
  <c r="AP16" i="1" s="1"/>
  <c r="AN5" i="1"/>
  <c r="AP5" i="1" s="1"/>
  <c r="AN4" i="1"/>
  <c r="AN3" i="1"/>
  <c r="AP3" i="1" s="1"/>
  <c r="AN10" i="1"/>
  <c r="AP10" i="1" s="1"/>
  <c r="AN24" i="1"/>
  <c r="AP24" i="1" s="1"/>
  <c r="AO3" i="1"/>
  <c r="AN22" i="1"/>
  <c r="AP22" i="1" s="1"/>
  <c r="AB26" i="1"/>
  <c r="AF3" i="1"/>
  <c r="AE26" i="1"/>
  <c r="AA26" i="1"/>
  <c r="Z26" i="1"/>
  <c r="AD3" i="1"/>
  <c r="AD26" i="1" s="1"/>
  <c r="AM26" i="1" l="1"/>
  <c r="AN26" i="1"/>
  <c r="AP4" i="1"/>
  <c r="AP26" i="1" s="1"/>
  <c r="AF26" i="1"/>
  <c r="AO26" i="1"/>
</calcChain>
</file>

<file path=xl/sharedStrings.xml><?xml version="1.0" encoding="utf-8"?>
<sst xmlns="http://schemas.openxmlformats.org/spreadsheetml/2006/main" count="77" uniqueCount="46">
  <si>
    <t>PLAYERS</t>
  </si>
  <si>
    <t>MP</t>
  </si>
  <si>
    <t>STARTS</t>
  </si>
  <si>
    <t>MINUTES</t>
  </si>
  <si>
    <t>G</t>
  </si>
  <si>
    <t>A</t>
  </si>
  <si>
    <t>G+A</t>
  </si>
  <si>
    <t>Harry Kane</t>
  </si>
  <si>
    <t>Joshua Kimmich</t>
  </si>
  <si>
    <t>Leon Goretzka</t>
  </si>
  <si>
    <t>Alphonso Davies</t>
  </si>
  <si>
    <t>Manuel Neuer</t>
  </si>
  <si>
    <t>Jamal Musiala</t>
  </si>
  <si>
    <t>Leroy Sané</t>
  </si>
  <si>
    <t>Kim Min-jae</t>
  </si>
  <si>
    <t>Thomas Müller</t>
  </si>
  <si>
    <t>Dayot Upamecano</t>
  </si>
  <si>
    <t>Konrad Laimer</t>
  </si>
  <si>
    <t>Matthijs de Ligt</t>
  </si>
  <si>
    <t>Noussair Mazraoui</t>
  </si>
  <si>
    <t>Kingsley Coman</t>
  </si>
  <si>
    <t>Aleksandar Pavlovic</t>
  </si>
  <si>
    <t>Raphaël Guerreiro</t>
  </si>
  <si>
    <t>Eric Dier</t>
  </si>
  <si>
    <t>Eric Maxim Choupo-Moting</t>
  </si>
  <si>
    <t>Mathys Tel</t>
  </si>
  <si>
    <t>Serge Gnabry</t>
  </si>
  <si>
    <t>2023-2024 (weight = 40%)</t>
  </si>
  <si>
    <t>2024-2025 (weight = 60%)</t>
  </si>
  <si>
    <t>Michael Olise</t>
  </si>
  <si>
    <t>Others</t>
  </si>
  <si>
    <t>Total</t>
  </si>
  <si>
    <t>G Share</t>
  </si>
  <si>
    <t>A Share</t>
  </si>
  <si>
    <t>Minutes Share</t>
  </si>
  <si>
    <t>Total (available)</t>
  </si>
  <si>
    <t>Weighted Averages</t>
  </si>
  <si>
    <t>Minutes</t>
  </si>
  <si>
    <t>2025-26 (Predicted)</t>
  </si>
  <si>
    <t>normalized avg</t>
  </si>
  <si>
    <t>G+A Share</t>
  </si>
  <si>
    <t>Growth-based prediction</t>
  </si>
  <si>
    <t>Adjusted Growth</t>
  </si>
  <si>
    <t>Change Share (Weighted avg)</t>
  </si>
  <si>
    <t>Normalized change share</t>
  </si>
  <si>
    <t>2025/26 (predicted)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</si>
</sst>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3" fontId="2" fillId="0" borderId="0" xfId="0" applyNumberFormat="1" applyFont="1"/>
    <xf numFmtId="10" fontId="2" fillId="0" borderId="0" xfId="1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10" fontId="2" fillId="0" borderId="4" xfId="1" applyNumberFormat="1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0" fontId="2" fillId="0" borderId="3" xfId="1" applyNumberFormat="1" applyFont="1" applyBorder="1"/>
    <xf numFmtId="10" fontId="2" fillId="0" borderId="6" xfId="0" applyNumberFormat="1" applyFont="1" applyBorder="1"/>
    <xf numFmtId="10" fontId="2" fillId="0" borderId="5" xfId="0" applyNumberFormat="1" applyFont="1" applyBorder="1"/>
    <xf numFmtId="10" fontId="2" fillId="0" borderId="7" xfId="0" applyNumberFormat="1" applyFont="1" applyBorder="1"/>
    <xf numFmtId="3" fontId="2" fillId="0" borderId="3" xfId="0" applyNumberFormat="1" applyFont="1" applyBorder="1"/>
    <xf numFmtId="10" fontId="2" fillId="0" borderId="0" xfId="0" applyNumberFormat="1" applyFont="1"/>
    <xf numFmtId="43" fontId="2" fillId="0" borderId="3" xfId="2" applyFont="1" applyBorder="1"/>
    <xf numFmtId="43" fontId="2" fillId="0" borderId="5" xfId="2" applyFont="1" applyBorder="1"/>
    <xf numFmtId="43" fontId="2" fillId="0" borderId="0" xfId="0" applyNumberFormat="1" applyFont="1"/>
    <xf numFmtId="43" fontId="2" fillId="0" borderId="0" xfId="2" applyFont="1" applyBorder="1"/>
    <xf numFmtId="1" fontId="2" fillId="0" borderId="0" xfId="0" applyNumberFormat="1" applyFont="1"/>
    <xf numFmtId="43" fontId="2" fillId="0" borderId="3" xfId="0" applyNumberFormat="1" applyFont="1" applyBorder="1"/>
    <xf numFmtId="43" fontId="2" fillId="0" borderId="5" xfId="0" applyNumberFormat="1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0" fontId="2" fillId="0" borderId="3" xfId="0" applyNumberFormat="1" applyFont="1" applyBorder="1"/>
    <xf numFmtId="10" fontId="2" fillId="0" borderId="1" xfId="1" applyNumberFormat="1" applyFont="1" applyBorder="1"/>
    <xf numFmtId="10" fontId="2" fillId="0" borderId="2" xfId="1" applyNumberFormat="1" applyFont="1" applyBorder="1"/>
    <xf numFmtId="164" fontId="2" fillId="0" borderId="3" xfId="0" applyNumberFormat="1" applyFont="1" applyBorder="1"/>
    <xf numFmtId="164" fontId="2" fillId="0" borderId="0" xfId="0" applyNumberFormat="1" applyFont="1"/>
    <xf numFmtId="164" fontId="2" fillId="0" borderId="4" xfId="0" applyNumberFormat="1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8466-B1D3-4E70-99B3-A2C941566B1A}">
  <dimension ref="A1:AQ26"/>
  <sheetViews>
    <sheetView showGridLines="0" tabSelected="1" topLeftCell="Z1" zoomScale="85" zoomScaleNormal="85" workbookViewId="0">
      <selection activeCell="AV10" sqref="AV10"/>
    </sheetView>
  </sheetViews>
  <sheetFormatPr defaultRowHeight="14.4" x14ac:dyDescent="0.3"/>
  <cols>
    <col min="1" max="1" width="26.109375" style="1" bestFit="1" customWidth="1"/>
    <col min="2" max="2" width="4.109375" style="1" bestFit="1" customWidth="1"/>
    <col min="3" max="3" width="8.44140625" style="1" bestFit="1" customWidth="1"/>
    <col min="4" max="4" width="10" style="1" bestFit="1" customWidth="1"/>
    <col min="5" max="6" width="3.5546875" style="1" bestFit="1" customWidth="1"/>
    <col min="7" max="7" width="5.109375" style="1" bestFit="1" customWidth="1"/>
    <col min="8" max="8" width="8.5546875" style="1" bestFit="1" customWidth="1"/>
    <col min="9" max="9" width="8.44140625" style="1" bestFit="1" customWidth="1"/>
    <col min="10" max="10" width="11.109375" style="1" bestFit="1" customWidth="1"/>
    <col min="11" max="11" width="14.88671875" style="1" bestFit="1" customWidth="1"/>
    <col min="12" max="12" width="4.109375" style="1" bestFit="1" customWidth="1"/>
    <col min="13" max="13" width="8.44140625" style="1" bestFit="1" customWidth="1"/>
    <col min="14" max="14" width="10" style="1" bestFit="1" customWidth="1"/>
    <col min="15" max="16" width="3.5546875" style="1" bestFit="1" customWidth="1"/>
    <col min="17" max="17" width="5.109375" style="1" bestFit="1" customWidth="1"/>
    <col min="18" max="18" width="8.5546875" style="1" bestFit="1" customWidth="1"/>
    <col min="19" max="19" width="8.44140625" style="1" bestFit="1" customWidth="1"/>
    <col min="20" max="20" width="11.109375" style="1" bestFit="1" customWidth="1"/>
    <col min="21" max="21" width="14.88671875" style="1" bestFit="1" customWidth="1"/>
    <col min="22" max="24" width="9.44140625" style="1" bestFit="1" customWidth="1"/>
    <col min="25" max="25" width="11.109375" style="1" bestFit="1" customWidth="1"/>
    <col min="26" max="28" width="10.44140625" style="1" customWidth="1"/>
    <col min="29" max="29" width="10" style="1" bestFit="1" customWidth="1"/>
    <col min="30" max="31" width="3.5546875" style="1" bestFit="1" customWidth="1"/>
    <col min="32" max="32" width="5.109375" style="1" customWidth="1"/>
    <col min="33" max="34" width="14.109375" style="1" customWidth="1"/>
    <col min="35" max="36" width="8.88671875" style="1"/>
    <col min="37" max="38" width="9.44140625" style="1" customWidth="1"/>
    <col min="39" max="39" width="9.21875" style="1" customWidth="1"/>
    <col min="40" max="40" width="9.44140625" style="1" customWidth="1"/>
    <col min="41" max="43" width="6.77734375" style="1" customWidth="1"/>
    <col min="44" max="16384" width="8.88671875" style="1"/>
  </cols>
  <sheetData>
    <row r="1" spans="1:43" ht="15" thickBot="1" x14ac:dyDescent="0.35">
      <c r="B1" s="38" t="s">
        <v>27</v>
      </c>
      <c r="C1" s="38"/>
      <c r="D1" s="38"/>
      <c r="E1" s="38"/>
      <c r="F1" s="38"/>
      <c r="G1" s="38"/>
      <c r="H1" s="38"/>
      <c r="I1" s="38"/>
      <c r="J1" s="38"/>
      <c r="K1" s="38"/>
      <c r="L1" s="38" t="s">
        <v>28</v>
      </c>
      <c r="M1" s="38"/>
      <c r="N1" s="38"/>
      <c r="O1" s="38"/>
      <c r="P1" s="38"/>
      <c r="Q1" s="38"/>
      <c r="R1" s="38"/>
      <c r="S1" s="38"/>
      <c r="T1" s="38"/>
      <c r="U1" s="38"/>
      <c r="V1" s="38" t="s">
        <v>36</v>
      </c>
      <c r="W1" s="38"/>
      <c r="X1" s="38"/>
      <c r="Y1" s="38"/>
      <c r="Z1" s="38" t="s">
        <v>39</v>
      </c>
      <c r="AA1" s="38"/>
      <c r="AB1" s="38"/>
      <c r="AC1" s="38" t="s">
        <v>38</v>
      </c>
      <c r="AD1" s="38"/>
      <c r="AE1" s="38"/>
      <c r="AF1" s="38"/>
      <c r="AG1" s="38" t="s">
        <v>41</v>
      </c>
      <c r="AH1" s="38"/>
      <c r="AI1" s="38" t="s">
        <v>42</v>
      </c>
      <c r="AJ1" s="38"/>
      <c r="AK1" s="37" t="s">
        <v>43</v>
      </c>
      <c r="AL1" s="37"/>
      <c r="AM1" s="37" t="s">
        <v>44</v>
      </c>
      <c r="AN1" s="37"/>
      <c r="AO1" s="37" t="s">
        <v>45</v>
      </c>
      <c r="AP1" s="37"/>
      <c r="AQ1" s="37"/>
    </row>
    <row r="2" spans="1:43" s="26" customFormat="1" ht="15" thickBot="1" x14ac:dyDescent="0.35">
      <c r="A2" s="25" t="s">
        <v>0</v>
      </c>
      <c r="B2" s="25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26" t="s">
        <v>32</v>
      </c>
      <c r="I2" s="26" t="s">
        <v>33</v>
      </c>
      <c r="J2" s="26" t="s">
        <v>40</v>
      </c>
      <c r="K2" s="27" t="s">
        <v>34</v>
      </c>
      <c r="L2" s="25" t="s">
        <v>1</v>
      </c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32</v>
      </c>
      <c r="S2" s="26" t="s">
        <v>33</v>
      </c>
      <c r="T2" s="26" t="s">
        <v>40</v>
      </c>
      <c r="U2" s="27" t="s">
        <v>34</v>
      </c>
      <c r="V2" s="26" t="s">
        <v>4</v>
      </c>
      <c r="W2" s="26" t="s">
        <v>5</v>
      </c>
      <c r="X2" s="26" t="s">
        <v>37</v>
      </c>
      <c r="Y2" s="26" t="s">
        <v>40</v>
      </c>
      <c r="Z2" s="25" t="s">
        <v>4</v>
      </c>
      <c r="AA2" s="26" t="s">
        <v>5</v>
      </c>
      <c r="AB2" s="27" t="s">
        <v>6</v>
      </c>
      <c r="AC2" s="25" t="s">
        <v>3</v>
      </c>
      <c r="AD2" s="26" t="s">
        <v>4</v>
      </c>
      <c r="AE2" s="26" t="s">
        <v>5</v>
      </c>
      <c r="AF2" s="26" t="s">
        <v>6</v>
      </c>
      <c r="AG2" s="25" t="s">
        <v>4</v>
      </c>
      <c r="AH2" s="26" t="s">
        <v>5</v>
      </c>
      <c r="AI2" s="25" t="s">
        <v>4</v>
      </c>
      <c r="AJ2" s="26" t="s">
        <v>5</v>
      </c>
      <c r="AK2" s="4" t="s">
        <v>4</v>
      </c>
      <c r="AL2" s="5" t="s">
        <v>5</v>
      </c>
      <c r="AM2" s="25" t="s">
        <v>4</v>
      </c>
      <c r="AN2" s="26" t="s">
        <v>5</v>
      </c>
      <c r="AO2" s="25" t="s">
        <v>4</v>
      </c>
      <c r="AP2" s="26" t="s">
        <v>5</v>
      </c>
      <c r="AQ2" s="27" t="s">
        <v>6</v>
      </c>
    </row>
    <row r="3" spans="1:43" x14ac:dyDescent="0.3">
      <c r="A3" s="1" t="s">
        <v>7</v>
      </c>
      <c r="B3" s="6">
        <v>32</v>
      </c>
      <c r="C3" s="1">
        <v>32</v>
      </c>
      <c r="D3" s="2">
        <v>2839</v>
      </c>
      <c r="E3" s="1">
        <v>36</v>
      </c>
      <c r="F3" s="1">
        <v>8</v>
      </c>
      <c r="G3" s="1">
        <v>44</v>
      </c>
      <c r="H3" s="3">
        <f>E3/$E$25</f>
        <v>0.38709677419354838</v>
      </c>
      <c r="I3" s="3">
        <f>F3/$F$25</f>
        <v>0.11267605633802817</v>
      </c>
      <c r="J3" s="3">
        <f>G3/$G$25</f>
        <v>0.26829268292682928</v>
      </c>
      <c r="K3" s="7">
        <f>D3/$D$26</f>
        <v>0.92777777777777781</v>
      </c>
      <c r="L3" s="6">
        <v>31</v>
      </c>
      <c r="M3" s="1">
        <v>28</v>
      </c>
      <c r="N3" s="1">
        <v>2381</v>
      </c>
      <c r="O3" s="1">
        <v>26</v>
      </c>
      <c r="P3" s="1">
        <v>9</v>
      </c>
      <c r="Q3" s="1">
        <v>35</v>
      </c>
      <c r="R3" s="3">
        <f t="shared" ref="R3:R13" si="0">O3/$O$25</f>
        <v>0.27083333333333331</v>
      </c>
      <c r="S3" s="3">
        <f t="shared" ref="S3:S13" si="1">P3/$P$25</f>
        <v>0.13636363636363635</v>
      </c>
      <c r="T3" s="3">
        <f>Q3/$Q$25</f>
        <v>0.21472392638036811</v>
      </c>
      <c r="U3" s="7">
        <f t="shared" ref="U3:U13" si="2">N3/$D$26</f>
        <v>0.7781045751633987</v>
      </c>
      <c r="V3" s="3">
        <f t="shared" ref="V3:V13" si="3">(H3*0.4)+(R3*0.6)</f>
        <v>0.31733870967741934</v>
      </c>
      <c r="W3" s="3">
        <f t="shared" ref="W3:W13" si="4">(I3*0.4)+(S3*0.6)</f>
        <v>0.12688860435339308</v>
      </c>
      <c r="X3" s="3">
        <f t="shared" ref="X3:X13" si="5">(K3*0.4)+(U3*0.6)</f>
        <v>0.83797385620915033</v>
      </c>
      <c r="Y3" s="3">
        <f>(J3*0.4)+(T3*0.6)</f>
        <v>0.23615142899895258</v>
      </c>
      <c r="Z3" s="12">
        <f>V3/$V$26</f>
        <v>0.30726184279021335</v>
      </c>
      <c r="AA3" s="3">
        <f t="shared" ref="AA3:AA13" si="6">W3/$W$26</f>
        <v>0.11939759036144579</v>
      </c>
      <c r="AB3" s="7">
        <f>Y3/$Y$26</f>
        <v>0.22613230932355172</v>
      </c>
      <c r="AC3" s="16">
        <f t="shared" ref="AC3:AC13" si="7">$D$26*X3</f>
        <v>2564.1999999999998</v>
      </c>
      <c r="AD3" s="1">
        <f t="shared" ref="AD3:AD13" si="8">$AD$25*Z3</f>
        <v>30.418922436231121</v>
      </c>
      <c r="AE3" s="1">
        <f t="shared" ref="AE3:AE13" si="9">$AE$25*AA3</f>
        <v>8.1787349397590372</v>
      </c>
      <c r="AF3" s="22">
        <f>$AF$25*AB3</f>
        <v>37.877161811694911</v>
      </c>
      <c r="AG3" s="18">
        <f>R3/H3</f>
        <v>0.69965277777777779</v>
      </c>
      <c r="AH3" s="21">
        <f>S3/I3</f>
        <v>1.2102272727272727</v>
      </c>
      <c r="AI3" s="23">
        <f t="shared" ref="AI3:AJ7" si="10">1+((1-AG3)*0.5)</f>
        <v>1.1501736111111112</v>
      </c>
      <c r="AJ3" s="20">
        <f t="shared" si="10"/>
        <v>0.89488636363636365</v>
      </c>
      <c r="AK3" s="29">
        <f t="shared" ref="AK3:AL7" si="11">V3*AI3</f>
        <v>0.3649946096550179</v>
      </c>
      <c r="AL3" s="30">
        <f t="shared" si="11"/>
        <v>0.11355088173670119</v>
      </c>
      <c r="AM3" s="28">
        <f>AK3/$AK$26</f>
        <v>0.39073705039606776</v>
      </c>
      <c r="AN3" s="17">
        <f>AL3/$AL$26</f>
        <v>8.773257238468693E-2</v>
      </c>
      <c r="AO3" s="31">
        <f>AM3*$AO$25</f>
        <v>38.682967989210709</v>
      </c>
      <c r="AP3" s="32">
        <f>$AP$25*AN3</f>
        <v>6.0096812083510551</v>
      </c>
      <c r="AQ3" s="33">
        <f>SUM(AP3,AO3)</f>
        <v>44.692649197561764</v>
      </c>
    </row>
    <row r="4" spans="1:43" x14ac:dyDescent="0.3">
      <c r="A4" s="1" t="s">
        <v>8</v>
      </c>
      <c r="B4" s="6">
        <v>28</v>
      </c>
      <c r="C4" s="1">
        <v>27</v>
      </c>
      <c r="D4" s="2">
        <v>2176</v>
      </c>
      <c r="E4" s="1">
        <v>1</v>
      </c>
      <c r="F4" s="1">
        <v>6</v>
      </c>
      <c r="G4" s="1">
        <v>7</v>
      </c>
      <c r="H4" s="3">
        <f t="shared" ref="H4:H24" si="12">E4/$E$25</f>
        <v>1.0752688172043012E-2</v>
      </c>
      <c r="I4" s="3">
        <f t="shared" ref="I4:I24" si="13">F4/$F$25</f>
        <v>8.4507042253521125E-2</v>
      </c>
      <c r="J4" s="3">
        <f t="shared" ref="J4:J24" si="14">G4/$G$25</f>
        <v>4.2682926829268296E-2</v>
      </c>
      <c r="K4" s="7">
        <f t="shared" ref="K4:K23" si="15">D4/$D$26</f>
        <v>0.71111111111111114</v>
      </c>
      <c r="L4" s="6">
        <v>33</v>
      </c>
      <c r="M4" s="1">
        <v>32</v>
      </c>
      <c r="N4" s="1">
        <v>2847</v>
      </c>
      <c r="O4" s="1">
        <v>3</v>
      </c>
      <c r="P4" s="1">
        <v>7</v>
      </c>
      <c r="Q4" s="1">
        <v>10</v>
      </c>
      <c r="R4" s="3">
        <f t="shared" si="0"/>
        <v>3.125E-2</v>
      </c>
      <c r="S4" s="3">
        <f t="shared" si="1"/>
        <v>0.10606060606060606</v>
      </c>
      <c r="T4" s="3">
        <f t="shared" ref="T4:T24" si="16">Q4/$Q$25</f>
        <v>6.1349693251533742E-2</v>
      </c>
      <c r="U4" s="7">
        <f t="shared" si="2"/>
        <v>0.93039215686274512</v>
      </c>
      <c r="V4" s="3">
        <f t="shared" si="3"/>
        <v>2.3051075268817205E-2</v>
      </c>
      <c r="W4" s="3">
        <f t="shared" si="4"/>
        <v>9.7439180537772091E-2</v>
      </c>
      <c r="X4" s="3">
        <f t="shared" si="5"/>
        <v>0.84267973856209144</v>
      </c>
      <c r="Y4" s="3">
        <f t="shared" ref="Y4:Y24" si="17">(J4*0.4)+(T4*0.6)</f>
        <v>5.3882986682627559E-2</v>
      </c>
      <c r="Z4" s="12">
        <f t="shared" ref="Z4:Z13" si="18">V4/$V$26</f>
        <v>2.2319104633003642E-2</v>
      </c>
      <c r="AA4" s="3">
        <f t="shared" si="6"/>
        <v>9.1686746987951817E-2</v>
      </c>
      <c r="AB4" s="7">
        <f t="shared" ref="AB4:AB24" si="19">Y4/$Y$26</f>
        <v>5.1596910776461134E-2</v>
      </c>
      <c r="AC4" s="16">
        <f t="shared" si="7"/>
        <v>2578.6</v>
      </c>
      <c r="AD4" s="1">
        <f t="shared" si="8"/>
        <v>2.2095913586673603</v>
      </c>
      <c r="AE4" s="1">
        <f t="shared" si="9"/>
        <v>6.2805421686746996</v>
      </c>
      <c r="AF4" s="22">
        <f t="shared" ref="AF4:AF24" si="20">$AF$25*AB4</f>
        <v>8.6424825550572404</v>
      </c>
      <c r="AG4" s="18">
        <f t="shared" ref="AG4:AG24" si="21">R4/H4</f>
        <v>2.9062499999999996</v>
      </c>
      <c r="AH4" s="21">
        <f t="shared" ref="AH4:AH21" si="22">S4/I4</f>
        <v>1.2550505050505052</v>
      </c>
      <c r="AI4" s="23">
        <f t="shared" si="10"/>
        <v>4.6875000000000222E-2</v>
      </c>
      <c r="AJ4" s="20">
        <f t="shared" si="10"/>
        <v>0.8724747474747474</v>
      </c>
      <c r="AK4" s="12">
        <f t="shared" si="11"/>
        <v>1.0805191532258117E-3</v>
      </c>
      <c r="AL4" s="3">
        <f t="shared" si="11"/>
        <v>8.5013224433839032E-2</v>
      </c>
      <c r="AM4" s="28">
        <f t="shared" ref="AM4:AM24" si="23">AK4/$AK$26</f>
        <v>1.1567263067993258E-3</v>
      </c>
      <c r="AN4" s="17">
        <f>AL4/$AL$26</f>
        <v>6.5683583889659516E-2</v>
      </c>
      <c r="AO4" s="31">
        <f>AM4*$AO$25</f>
        <v>0.11451590437313325</v>
      </c>
      <c r="AP4" s="32">
        <f>$AP$25*AN4</f>
        <v>4.4993254964416769</v>
      </c>
      <c r="AQ4" s="33">
        <f t="shared" ref="AQ4:AQ24" si="24">SUM(AP4,AO4)</f>
        <v>4.6138414008148105</v>
      </c>
    </row>
    <row r="5" spans="1:43" x14ac:dyDescent="0.3">
      <c r="A5" s="1" t="s">
        <v>9</v>
      </c>
      <c r="B5" s="6">
        <v>30</v>
      </c>
      <c r="C5" s="1">
        <v>25</v>
      </c>
      <c r="D5" s="2">
        <v>2241</v>
      </c>
      <c r="E5" s="1">
        <v>6</v>
      </c>
      <c r="F5" s="1">
        <v>7</v>
      </c>
      <c r="G5" s="1">
        <v>13</v>
      </c>
      <c r="H5" s="3">
        <f t="shared" si="12"/>
        <v>6.4516129032258063E-2</v>
      </c>
      <c r="I5" s="3">
        <f t="shared" si="13"/>
        <v>9.8591549295774641E-2</v>
      </c>
      <c r="J5" s="3">
        <f t="shared" si="14"/>
        <v>7.926829268292683E-2</v>
      </c>
      <c r="K5" s="7">
        <f t="shared" si="15"/>
        <v>0.73235294117647054</v>
      </c>
      <c r="L5" s="6">
        <v>26</v>
      </c>
      <c r="M5" s="1">
        <v>13</v>
      </c>
      <c r="N5" s="1">
        <v>1325</v>
      </c>
      <c r="O5" s="1">
        <v>4</v>
      </c>
      <c r="P5" s="1">
        <v>1</v>
      </c>
      <c r="Q5" s="1">
        <v>5</v>
      </c>
      <c r="R5" s="3">
        <f t="shared" si="0"/>
        <v>4.1666666666666664E-2</v>
      </c>
      <c r="S5" s="3">
        <f t="shared" si="1"/>
        <v>1.5151515151515152E-2</v>
      </c>
      <c r="T5" s="3">
        <f t="shared" si="16"/>
        <v>3.0674846625766871E-2</v>
      </c>
      <c r="U5" s="7">
        <f t="shared" si="2"/>
        <v>0.43300653594771243</v>
      </c>
      <c r="V5" s="3">
        <f t="shared" si="3"/>
        <v>5.0806451612903224E-2</v>
      </c>
      <c r="W5" s="3">
        <f t="shared" si="4"/>
        <v>4.8527528809218956E-2</v>
      </c>
      <c r="X5" s="3">
        <f t="shared" si="5"/>
        <v>0.55274509803921568</v>
      </c>
      <c r="Y5" s="3">
        <f t="shared" si="17"/>
        <v>5.0112225048630853E-2</v>
      </c>
      <c r="Z5" s="12">
        <f t="shared" si="18"/>
        <v>4.9193128578865167E-2</v>
      </c>
      <c r="AA5" s="3">
        <f t="shared" si="6"/>
        <v>4.5662650602409649E-2</v>
      </c>
      <c r="AB5" s="7">
        <f t="shared" si="19"/>
        <v>4.7986130016764328E-2</v>
      </c>
      <c r="AC5" s="16">
        <f t="shared" si="7"/>
        <v>1691.3999999999999</v>
      </c>
      <c r="AD5" s="1">
        <f t="shared" si="8"/>
        <v>4.8701197293076515</v>
      </c>
      <c r="AE5" s="1">
        <f t="shared" si="9"/>
        <v>3.127891566265061</v>
      </c>
      <c r="AF5" s="22">
        <f t="shared" si="20"/>
        <v>8.0376767778080254</v>
      </c>
      <c r="AG5" s="18">
        <f t="shared" si="21"/>
        <v>0.64583333333333337</v>
      </c>
      <c r="AH5" s="21">
        <f t="shared" si="22"/>
        <v>0.15367965367965369</v>
      </c>
      <c r="AI5" s="23">
        <f t="shared" si="10"/>
        <v>1.1770833333333333</v>
      </c>
      <c r="AJ5" s="20">
        <f t="shared" si="10"/>
        <v>1.4231601731601731</v>
      </c>
      <c r="AK5" s="12">
        <f t="shared" si="11"/>
        <v>5.9803427419354835E-2</v>
      </c>
      <c r="AL5" s="3">
        <f t="shared" si="11"/>
        <v>6.9062446303163341E-2</v>
      </c>
      <c r="AM5" s="28">
        <f t="shared" si="23"/>
        <v>6.4021260082444006E-2</v>
      </c>
      <c r="AN5" s="17">
        <f>AL5/$AL$26</f>
        <v>5.3359568650513375E-2</v>
      </c>
      <c r="AO5" s="31">
        <f>AM5*$AO$25</f>
        <v>6.3381047481619568</v>
      </c>
      <c r="AP5" s="32">
        <f>$AP$25*AN5</f>
        <v>3.655130452560166</v>
      </c>
      <c r="AQ5" s="33">
        <f t="shared" si="24"/>
        <v>9.9932352007221219</v>
      </c>
    </row>
    <row r="6" spans="1:43" x14ac:dyDescent="0.3">
      <c r="A6" s="1" t="s">
        <v>13</v>
      </c>
      <c r="B6" s="6">
        <v>27</v>
      </c>
      <c r="C6" s="1">
        <v>25</v>
      </c>
      <c r="D6" s="2">
        <v>2137</v>
      </c>
      <c r="E6" s="1">
        <v>8</v>
      </c>
      <c r="F6" s="1">
        <v>11</v>
      </c>
      <c r="G6" s="1">
        <v>19</v>
      </c>
      <c r="H6" s="3">
        <f t="shared" si="12"/>
        <v>8.6021505376344093E-2</v>
      </c>
      <c r="I6" s="3">
        <f t="shared" si="13"/>
        <v>0.15492957746478872</v>
      </c>
      <c r="J6" s="3">
        <f t="shared" si="14"/>
        <v>0.11585365853658537</v>
      </c>
      <c r="K6" s="7">
        <f t="shared" si="15"/>
        <v>0.69836601307189539</v>
      </c>
      <c r="L6" s="6">
        <v>30</v>
      </c>
      <c r="M6" s="1">
        <v>17</v>
      </c>
      <c r="N6" s="1">
        <v>1637</v>
      </c>
      <c r="O6" s="1">
        <v>11</v>
      </c>
      <c r="P6" s="1">
        <v>5</v>
      </c>
      <c r="Q6" s="1">
        <v>16</v>
      </c>
      <c r="R6" s="3">
        <f t="shared" si="0"/>
        <v>0.11458333333333333</v>
      </c>
      <c r="S6" s="3">
        <f t="shared" si="1"/>
        <v>7.575757575757576E-2</v>
      </c>
      <c r="T6" s="3">
        <f t="shared" si="16"/>
        <v>9.815950920245399E-2</v>
      </c>
      <c r="U6" s="7">
        <f t="shared" si="2"/>
        <v>0.5349673202614379</v>
      </c>
      <c r="V6" s="3">
        <f t="shared" si="3"/>
        <v>0.10315860215053763</v>
      </c>
      <c r="W6" s="3">
        <f t="shared" si="4"/>
        <v>0.10742637644046095</v>
      </c>
      <c r="X6" s="3">
        <f t="shared" si="5"/>
        <v>0.60032679738562089</v>
      </c>
      <c r="Y6" s="3">
        <f t="shared" si="17"/>
        <v>0.10523716893610655</v>
      </c>
      <c r="Z6" s="12">
        <f t="shared" si="18"/>
        <v>9.9882873503383637E-2</v>
      </c>
      <c r="AA6" s="3">
        <f t="shared" si="6"/>
        <v>0.10108433734939759</v>
      </c>
      <c r="AB6" s="7">
        <f t="shared" si="19"/>
        <v>0.10077230588471291</v>
      </c>
      <c r="AC6" s="16">
        <f t="shared" si="7"/>
        <v>1837</v>
      </c>
      <c r="AD6" s="1">
        <f t="shared" si="8"/>
        <v>9.8884044768349799</v>
      </c>
      <c r="AE6" s="1">
        <f t="shared" si="9"/>
        <v>6.9242771084337349</v>
      </c>
      <c r="AF6" s="22">
        <f t="shared" si="20"/>
        <v>16.879361235689412</v>
      </c>
      <c r="AG6" s="18">
        <f t="shared" si="21"/>
        <v>1.3320312499999998</v>
      </c>
      <c r="AH6" s="21">
        <f t="shared" si="22"/>
        <v>0.48898071625344358</v>
      </c>
      <c r="AI6" s="23">
        <f t="shared" si="10"/>
        <v>0.83398437500000011</v>
      </c>
      <c r="AJ6" s="20">
        <f t="shared" si="10"/>
        <v>1.2555096418732781</v>
      </c>
      <c r="AK6" s="12">
        <f t="shared" si="11"/>
        <v>8.6032662340389796E-2</v>
      </c>
      <c r="AL6" s="3">
        <f t="shared" si="11"/>
        <v>0.13487485141250707</v>
      </c>
      <c r="AM6" s="28">
        <f t="shared" si="23"/>
        <v>9.2100397735675479E-2</v>
      </c>
      <c r="AN6" s="17">
        <f>AL6/$AL$26</f>
        <v>0.10420806499644389</v>
      </c>
      <c r="AO6" s="31">
        <f>AM6*$AO$25</f>
        <v>9.1179393758318721</v>
      </c>
      <c r="AP6" s="32">
        <f>$AP$25*AN6</f>
        <v>7.1382524522564061</v>
      </c>
      <c r="AQ6" s="33">
        <f t="shared" si="24"/>
        <v>16.256191828088276</v>
      </c>
    </row>
    <row r="7" spans="1:43" x14ac:dyDescent="0.3">
      <c r="A7" s="1" t="s">
        <v>10</v>
      </c>
      <c r="B7" s="6">
        <v>29</v>
      </c>
      <c r="C7" s="1">
        <v>24</v>
      </c>
      <c r="D7" s="2">
        <v>2065</v>
      </c>
      <c r="E7" s="1">
        <v>2</v>
      </c>
      <c r="F7" s="1">
        <v>5</v>
      </c>
      <c r="G7" s="1">
        <v>7</v>
      </c>
      <c r="H7" s="3">
        <f t="shared" si="12"/>
        <v>2.1505376344086023E-2</v>
      </c>
      <c r="I7" s="3">
        <f t="shared" si="13"/>
        <v>7.0422535211267609E-2</v>
      </c>
      <c r="J7" s="3">
        <f t="shared" si="14"/>
        <v>4.2682926829268296E-2</v>
      </c>
      <c r="K7" s="7">
        <f t="shared" si="15"/>
        <v>0.67483660130718959</v>
      </c>
      <c r="L7" s="6">
        <v>19</v>
      </c>
      <c r="M7" s="1">
        <v>17</v>
      </c>
      <c r="N7" s="1">
        <v>1560</v>
      </c>
      <c r="O7" s="1">
        <v>1</v>
      </c>
      <c r="P7" s="1">
        <v>2</v>
      </c>
      <c r="Q7" s="1">
        <v>3</v>
      </c>
      <c r="R7" s="3">
        <f t="shared" si="0"/>
        <v>1.0416666666666666E-2</v>
      </c>
      <c r="S7" s="3">
        <f t="shared" si="1"/>
        <v>3.0303030303030304E-2</v>
      </c>
      <c r="T7" s="3">
        <f t="shared" si="16"/>
        <v>1.8404907975460124E-2</v>
      </c>
      <c r="U7" s="7">
        <f t="shared" si="2"/>
        <v>0.50980392156862742</v>
      </c>
      <c r="V7" s="3">
        <f t="shared" si="3"/>
        <v>1.4852150537634411E-2</v>
      </c>
      <c r="W7" s="3">
        <f t="shared" si="4"/>
        <v>4.6350832266325227E-2</v>
      </c>
      <c r="X7" s="3">
        <f t="shared" si="5"/>
        <v>0.57581699346405224</v>
      </c>
      <c r="Y7" s="3">
        <f t="shared" si="17"/>
        <v>2.8116115516983391E-2</v>
      </c>
      <c r="Z7" s="12">
        <f t="shared" si="18"/>
        <v>1.4380530973451327E-2</v>
      </c>
      <c r="AA7" s="3">
        <f t="shared" si="6"/>
        <v>4.3614457831325303E-2</v>
      </c>
      <c r="AB7" s="7">
        <f t="shared" si="19"/>
        <v>2.6923242251866281E-2</v>
      </c>
      <c r="AC7" s="16">
        <f t="shared" si="7"/>
        <v>1761.9999999999998</v>
      </c>
      <c r="AD7" s="1">
        <f t="shared" si="8"/>
        <v>1.4236725663716814</v>
      </c>
      <c r="AE7" s="1">
        <f t="shared" si="9"/>
        <v>2.987590361445783</v>
      </c>
      <c r="AF7" s="22">
        <f t="shared" si="20"/>
        <v>4.5096430771876017</v>
      </c>
      <c r="AG7" s="18">
        <f t="shared" si="21"/>
        <v>0.48437499999999994</v>
      </c>
      <c r="AH7" s="21">
        <f t="shared" si="22"/>
        <v>0.4303030303030303</v>
      </c>
      <c r="AI7" s="23">
        <f t="shared" si="10"/>
        <v>1.2578125</v>
      </c>
      <c r="AJ7" s="20">
        <f t="shared" si="10"/>
        <v>1.2848484848484849</v>
      </c>
      <c r="AK7" s="12">
        <f t="shared" si="11"/>
        <v>1.8681220598118282E-2</v>
      </c>
      <c r="AL7" s="3">
        <f t="shared" si="11"/>
        <v>5.9553796608854237E-2</v>
      </c>
      <c r="AM7" s="28">
        <f t="shared" si="23"/>
        <v>1.9998774889322946E-2</v>
      </c>
      <c r="AN7" s="17">
        <f>AL7/$AL$26</f>
        <v>4.6012921184393575E-2</v>
      </c>
      <c r="AO7" s="31">
        <f>AM7*$AO$25</f>
        <v>1.9798787140429717</v>
      </c>
      <c r="AP7" s="32">
        <f>$AP$25*AN7</f>
        <v>3.1518851011309601</v>
      </c>
      <c r="AQ7" s="33">
        <f t="shared" si="24"/>
        <v>5.1317638151739313</v>
      </c>
    </row>
    <row r="8" spans="1:43" x14ac:dyDescent="0.3">
      <c r="A8" s="1" t="s">
        <v>11</v>
      </c>
      <c r="B8" s="6">
        <v>23</v>
      </c>
      <c r="C8" s="1">
        <v>23</v>
      </c>
      <c r="D8" s="2">
        <v>2053</v>
      </c>
      <c r="E8" s="1">
        <v>0</v>
      </c>
      <c r="F8" s="1">
        <v>0</v>
      </c>
      <c r="G8" s="1">
        <v>0</v>
      </c>
      <c r="H8" s="3">
        <f t="shared" si="12"/>
        <v>0</v>
      </c>
      <c r="I8" s="3">
        <f t="shared" si="13"/>
        <v>0</v>
      </c>
      <c r="J8" s="3">
        <f t="shared" si="14"/>
        <v>0</v>
      </c>
      <c r="K8" s="7">
        <f t="shared" si="15"/>
        <v>0.67091503267973851</v>
      </c>
      <c r="L8" s="6">
        <v>22</v>
      </c>
      <c r="M8" s="1">
        <v>22</v>
      </c>
      <c r="N8" s="1">
        <v>1980</v>
      </c>
      <c r="O8" s="1">
        <v>0</v>
      </c>
      <c r="P8" s="1">
        <v>0</v>
      </c>
      <c r="Q8" s="1">
        <v>0</v>
      </c>
      <c r="R8" s="3">
        <f t="shared" si="0"/>
        <v>0</v>
      </c>
      <c r="S8" s="3">
        <f t="shared" si="1"/>
        <v>0</v>
      </c>
      <c r="T8" s="3">
        <f t="shared" si="16"/>
        <v>0</v>
      </c>
      <c r="U8" s="7">
        <f t="shared" si="2"/>
        <v>0.6470588235294118</v>
      </c>
      <c r="V8" s="3">
        <f t="shared" si="3"/>
        <v>0</v>
      </c>
      <c r="W8" s="3">
        <f t="shared" si="4"/>
        <v>0</v>
      </c>
      <c r="X8" s="3">
        <f t="shared" si="5"/>
        <v>0.65660130718954246</v>
      </c>
      <c r="Y8" s="3">
        <f t="shared" si="17"/>
        <v>0</v>
      </c>
      <c r="Z8" s="12">
        <f t="shared" si="18"/>
        <v>0</v>
      </c>
      <c r="AA8" s="3">
        <f t="shared" si="6"/>
        <v>0</v>
      </c>
      <c r="AB8" s="7">
        <f t="shared" si="19"/>
        <v>0</v>
      </c>
      <c r="AC8" s="16">
        <f t="shared" si="7"/>
        <v>2009.1999999999998</v>
      </c>
      <c r="AD8" s="1">
        <f t="shared" si="8"/>
        <v>0</v>
      </c>
      <c r="AE8" s="1">
        <f t="shared" si="9"/>
        <v>0</v>
      </c>
      <c r="AF8" s="22">
        <f t="shared" si="20"/>
        <v>0</v>
      </c>
      <c r="AG8" s="18"/>
      <c r="AH8" s="21"/>
      <c r="AI8" s="23"/>
      <c r="AK8" s="12"/>
      <c r="AL8" s="3"/>
      <c r="AM8" s="28"/>
      <c r="AN8" s="17"/>
      <c r="AO8" s="31"/>
      <c r="AP8" s="32"/>
      <c r="AQ8" s="33"/>
    </row>
    <row r="9" spans="1:43" x14ac:dyDescent="0.3">
      <c r="A9" s="1" t="s">
        <v>14</v>
      </c>
      <c r="B9" s="6">
        <v>25</v>
      </c>
      <c r="C9" s="1">
        <v>22</v>
      </c>
      <c r="D9" s="2">
        <v>1970</v>
      </c>
      <c r="E9" s="1">
        <v>1</v>
      </c>
      <c r="F9" s="1">
        <v>1</v>
      </c>
      <c r="G9" s="1">
        <v>2</v>
      </c>
      <c r="H9" s="3">
        <f t="shared" si="12"/>
        <v>1.0752688172043012E-2</v>
      </c>
      <c r="I9" s="3">
        <f t="shared" si="13"/>
        <v>1.4084507042253521E-2</v>
      </c>
      <c r="J9" s="3">
        <f t="shared" si="14"/>
        <v>1.2195121951219513E-2</v>
      </c>
      <c r="K9" s="7">
        <f t="shared" si="15"/>
        <v>0.64379084967320266</v>
      </c>
      <c r="L9" s="6">
        <v>27</v>
      </c>
      <c r="M9" s="1">
        <v>27</v>
      </c>
      <c r="N9" s="1">
        <v>2283</v>
      </c>
      <c r="O9" s="1">
        <v>2</v>
      </c>
      <c r="P9" s="1">
        <v>0</v>
      </c>
      <c r="Q9" s="1">
        <v>2</v>
      </c>
      <c r="R9" s="3">
        <f t="shared" si="0"/>
        <v>2.0833333333333332E-2</v>
      </c>
      <c r="S9" s="3">
        <f t="shared" si="1"/>
        <v>0</v>
      </c>
      <c r="T9" s="3">
        <f t="shared" si="16"/>
        <v>1.2269938650306749E-2</v>
      </c>
      <c r="U9" s="7">
        <f t="shared" si="2"/>
        <v>0.74607843137254903</v>
      </c>
      <c r="V9" s="3">
        <f t="shared" si="3"/>
        <v>1.6801075268817203E-2</v>
      </c>
      <c r="W9" s="3">
        <f t="shared" si="4"/>
        <v>5.6338028169014088E-3</v>
      </c>
      <c r="X9" s="3">
        <f t="shared" si="5"/>
        <v>0.70516339869281053</v>
      </c>
      <c r="Y9" s="3">
        <f t="shared" si="17"/>
        <v>1.2240011970671854E-2</v>
      </c>
      <c r="Z9" s="12">
        <f t="shared" si="18"/>
        <v>1.6267568974492448E-2</v>
      </c>
      <c r="AA9" s="3">
        <f t="shared" si="6"/>
        <v>5.3012048192771092E-3</v>
      </c>
      <c r="AB9" s="7">
        <f t="shared" si="19"/>
        <v>1.1720708973936464E-2</v>
      </c>
      <c r="AC9" s="16">
        <f t="shared" si="7"/>
        <v>2157.8000000000002</v>
      </c>
      <c r="AD9" s="1">
        <f t="shared" si="8"/>
        <v>1.6104893284747523</v>
      </c>
      <c r="AE9" s="1">
        <f t="shared" si="9"/>
        <v>0.36313253012048197</v>
      </c>
      <c r="AF9" s="22">
        <f t="shared" si="20"/>
        <v>1.9632187531343577</v>
      </c>
      <c r="AG9" s="18">
        <f t="shared" si="21"/>
        <v>1.9374999999999998</v>
      </c>
      <c r="AH9" s="21"/>
      <c r="AI9" s="23">
        <f>1+((1-AG9)*0.5)</f>
        <v>0.53125000000000011</v>
      </c>
      <c r="AK9" s="12">
        <f>V9*AI9</f>
        <v>8.9255712365591405E-3</v>
      </c>
      <c r="AL9" s="3"/>
      <c r="AM9" s="28">
        <f t="shared" si="23"/>
        <v>9.5550763924142114E-3</v>
      </c>
      <c r="AN9" s="17"/>
      <c r="AO9" s="31">
        <f>AM9*$AO$25</f>
        <v>0.94595256284900697</v>
      </c>
      <c r="AP9" s="32"/>
      <c r="AQ9" s="33">
        <f t="shared" si="24"/>
        <v>0.94595256284900697</v>
      </c>
    </row>
    <row r="10" spans="1:43" x14ac:dyDescent="0.3">
      <c r="A10" s="1" t="s">
        <v>12</v>
      </c>
      <c r="B10" s="6">
        <v>24</v>
      </c>
      <c r="C10" s="1">
        <v>20</v>
      </c>
      <c r="D10" s="2">
        <v>1755</v>
      </c>
      <c r="E10" s="1">
        <v>10</v>
      </c>
      <c r="F10" s="1">
        <v>5</v>
      </c>
      <c r="G10" s="1">
        <v>15</v>
      </c>
      <c r="H10" s="3">
        <f t="shared" si="12"/>
        <v>0.10752688172043011</v>
      </c>
      <c r="I10" s="3">
        <f t="shared" si="13"/>
        <v>7.0422535211267609E-2</v>
      </c>
      <c r="J10" s="3">
        <f t="shared" si="14"/>
        <v>9.1463414634146339E-2</v>
      </c>
      <c r="K10" s="7">
        <f t="shared" si="15"/>
        <v>0.57352941176470584</v>
      </c>
      <c r="L10" s="6">
        <v>25</v>
      </c>
      <c r="M10" s="1">
        <v>21</v>
      </c>
      <c r="N10" s="1">
        <v>1798</v>
      </c>
      <c r="O10" s="1">
        <v>12</v>
      </c>
      <c r="P10" s="1">
        <v>2</v>
      </c>
      <c r="Q10" s="1">
        <v>14</v>
      </c>
      <c r="R10" s="3">
        <f t="shared" si="0"/>
        <v>0.125</v>
      </c>
      <c r="S10" s="3">
        <f t="shared" si="1"/>
        <v>3.0303030303030304E-2</v>
      </c>
      <c r="T10" s="3">
        <f t="shared" si="16"/>
        <v>8.5889570552147243E-2</v>
      </c>
      <c r="U10" s="7">
        <f t="shared" si="2"/>
        <v>0.58758169934640525</v>
      </c>
      <c r="V10" s="3">
        <f t="shared" si="3"/>
        <v>0.11801075268817204</v>
      </c>
      <c r="W10" s="3">
        <f t="shared" si="4"/>
        <v>4.6350832266325227E-2</v>
      </c>
      <c r="X10" s="3">
        <f t="shared" si="5"/>
        <v>0.58196078431372544</v>
      </c>
      <c r="Y10" s="3">
        <f t="shared" si="17"/>
        <v>8.8119108184946879E-2</v>
      </c>
      <c r="Z10" s="12">
        <f t="shared" si="18"/>
        <v>0.11426340447683496</v>
      </c>
      <c r="AA10" s="3">
        <f t="shared" si="6"/>
        <v>4.3614457831325303E-2</v>
      </c>
      <c r="AB10" s="7">
        <f t="shared" si="19"/>
        <v>8.4380507515295647E-2</v>
      </c>
      <c r="AC10" s="16">
        <f t="shared" si="7"/>
        <v>1780.8</v>
      </c>
      <c r="AD10" s="1">
        <f t="shared" si="8"/>
        <v>11.312077043206662</v>
      </c>
      <c r="AE10" s="1">
        <f t="shared" si="9"/>
        <v>2.987590361445783</v>
      </c>
      <c r="AF10" s="22">
        <f t="shared" si="20"/>
        <v>14.133735008812021</v>
      </c>
      <c r="AG10" s="18">
        <f t="shared" si="21"/>
        <v>1.1625000000000001</v>
      </c>
      <c r="AH10" s="21">
        <f t="shared" si="22"/>
        <v>0.4303030303030303</v>
      </c>
      <c r="AI10" s="23">
        <f>1+((1-AG10)*0.5)</f>
        <v>0.91874999999999996</v>
      </c>
      <c r="AJ10" s="20">
        <f>1+((1-AH10)*0.5)</f>
        <v>1.2848484848484849</v>
      </c>
      <c r="AK10" s="12">
        <f>V10*AI10</f>
        <v>0.10842237903225806</v>
      </c>
      <c r="AL10" s="3">
        <f>W10*AJ10</f>
        <v>5.9553796608854237E-2</v>
      </c>
      <c r="AM10" s="28">
        <f t="shared" si="23"/>
        <v>0.11606922255654893</v>
      </c>
      <c r="AN10" s="17">
        <f>AL10/$AL$26</f>
        <v>4.6012921184393575E-2</v>
      </c>
      <c r="AO10" s="31">
        <f>AM10*$AO$25</f>
        <v>11.490853033098345</v>
      </c>
      <c r="AP10" s="32">
        <f>$AP$25*AN10</f>
        <v>3.1518851011309601</v>
      </c>
      <c r="AQ10" s="33">
        <f t="shared" si="24"/>
        <v>14.642738134229305</v>
      </c>
    </row>
    <row r="11" spans="1:43" x14ac:dyDescent="0.3">
      <c r="A11" s="1" t="s">
        <v>15</v>
      </c>
      <c r="B11" s="6">
        <v>31</v>
      </c>
      <c r="C11" s="1">
        <v>20</v>
      </c>
      <c r="D11" s="2">
        <v>1654</v>
      </c>
      <c r="E11" s="1">
        <v>5</v>
      </c>
      <c r="F11" s="1">
        <v>9</v>
      </c>
      <c r="G11" s="1">
        <v>14</v>
      </c>
      <c r="H11" s="3">
        <f t="shared" si="12"/>
        <v>5.3763440860215055E-2</v>
      </c>
      <c r="I11" s="3">
        <f t="shared" si="13"/>
        <v>0.12676056338028169</v>
      </c>
      <c r="J11" s="3">
        <f t="shared" si="14"/>
        <v>8.5365853658536592E-2</v>
      </c>
      <c r="K11" s="7">
        <f t="shared" si="15"/>
        <v>0.54052287581699343</v>
      </c>
      <c r="L11" s="6">
        <v>30</v>
      </c>
      <c r="M11" s="1">
        <v>12</v>
      </c>
      <c r="N11" s="1">
        <v>1225</v>
      </c>
      <c r="O11" s="1">
        <v>1</v>
      </c>
      <c r="P11" s="1">
        <v>4</v>
      </c>
      <c r="Q11" s="1">
        <v>5</v>
      </c>
      <c r="R11" s="3">
        <f t="shared" si="0"/>
        <v>1.0416666666666666E-2</v>
      </c>
      <c r="S11" s="3">
        <f t="shared" si="1"/>
        <v>6.0606060606060608E-2</v>
      </c>
      <c r="T11" s="3">
        <f t="shared" si="16"/>
        <v>3.0674846625766871E-2</v>
      </c>
      <c r="U11" s="7">
        <f t="shared" si="2"/>
        <v>0.40032679738562094</v>
      </c>
      <c r="V11" s="3">
        <f t="shared" si="3"/>
        <v>2.7755376344086022E-2</v>
      </c>
      <c r="W11" s="3">
        <f t="shared" si="4"/>
        <v>8.706786171574904E-2</v>
      </c>
      <c r="X11" s="3">
        <f t="shared" si="5"/>
        <v>0.45640522875816991</v>
      </c>
      <c r="Y11" s="3">
        <f t="shared" si="17"/>
        <v>5.2551249438874757E-2</v>
      </c>
      <c r="Z11" s="12">
        <f t="shared" si="18"/>
        <v>2.6874023945861528E-2</v>
      </c>
      <c r="AA11" s="3">
        <f t="shared" si="6"/>
        <v>8.1927710843373497E-2</v>
      </c>
      <c r="AB11" s="7">
        <f t="shared" si="19"/>
        <v>5.0321674714504723E-2</v>
      </c>
      <c r="AC11" s="16">
        <f t="shared" si="7"/>
        <v>1396.6</v>
      </c>
      <c r="AD11" s="1">
        <f t="shared" si="8"/>
        <v>2.6605283706402911</v>
      </c>
      <c r="AE11" s="1">
        <f t="shared" si="9"/>
        <v>5.6120481927710841</v>
      </c>
      <c r="AF11" s="22">
        <f t="shared" si="20"/>
        <v>8.4288805146795411</v>
      </c>
      <c r="AG11" s="18">
        <f t="shared" si="21"/>
        <v>0.19374999999999998</v>
      </c>
      <c r="AH11" s="21">
        <f t="shared" si="22"/>
        <v>0.47811447811447816</v>
      </c>
      <c r="AI11" s="23">
        <f>1+((1-AG11)*0.5)</f>
        <v>1.403125</v>
      </c>
      <c r="AJ11" s="20">
        <f>1+((1-AH11)*0.5)</f>
        <v>1.2609427609427608</v>
      </c>
      <c r="AK11" s="12">
        <f>V11*AI11</f>
        <v>3.8944262432795695E-2</v>
      </c>
      <c r="AL11" s="3">
        <f>W11*AJ11</f>
        <v>0.10978758994123909</v>
      </c>
      <c r="AM11" s="28">
        <f t="shared" si="23"/>
        <v>4.1690934140708562E-2</v>
      </c>
      <c r="AN11" s="17">
        <f>AL11/$AL$26</f>
        <v>8.4824948376837739E-2</v>
      </c>
      <c r="AO11" s="31">
        <f>AM11*$AO$25</f>
        <v>4.1274024799301472</v>
      </c>
      <c r="AP11" s="32">
        <f>$AP$25*AN11</f>
        <v>5.8105089638133851</v>
      </c>
      <c r="AQ11" s="33">
        <f t="shared" si="24"/>
        <v>9.9379114437435323</v>
      </c>
    </row>
    <row r="12" spans="1:43" x14ac:dyDescent="0.3">
      <c r="A12" s="1" t="s">
        <v>16</v>
      </c>
      <c r="B12" s="6">
        <v>25</v>
      </c>
      <c r="C12" s="1">
        <v>19</v>
      </c>
      <c r="D12" s="2">
        <v>1762</v>
      </c>
      <c r="E12" s="1">
        <v>1</v>
      </c>
      <c r="F12" s="1">
        <v>0</v>
      </c>
      <c r="G12" s="1">
        <v>1</v>
      </c>
      <c r="H12" s="3">
        <f t="shared" si="12"/>
        <v>1.0752688172043012E-2</v>
      </c>
      <c r="I12" s="3">
        <f t="shared" si="13"/>
        <v>0</v>
      </c>
      <c r="J12" s="3">
        <f t="shared" si="14"/>
        <v>6.0975609756097563E-3</v>
      </c>
      <c r="K12" s="7">
        <f t="shared" si="15"/>
        <v>0.57581699346405224</v>
      </c>
      <c r="L12" s="6">
        <v>20</v>
      </c>
      <c r="M12" s="1">
        <v>20</v>
      </c>
      <c r="N12" s="1">
        <v>1759</v>
      </c>
      <c r="O12" s="1">
        <v>2</v>
      </c>
      <c r="P12" s="1">
        <v>0</v>
      </c>
      <c r="Q12" s="1">
        <v>2</v>
      </c>
      <c r="R12" s="3">
        <f t="shared" si="0"/>
        <v>2.0833333333333332E-2</v>
      </c>
      <c r="S12" s="3">
        <f t="shared" si="1"/>
        <v>0</v>
      </c>
      <c r="T12" s="3">
        <f t="shared" si="16"/>
        <v>1.2269938650306749E-2</v>
      </c>
      <c r="U12" s="7">
        <f t="shared" si="2"/>
        <v>0.5748366013071895</v>
      </c>
      <c r="V12" s="3">
        <f t="shared" si="3"/>
        <v>1.6801075268817203E-2</v>
      </c>
      <c r="W12" s="3">
        <f t="shared" si="4"/>
        <v>0</v>
      </c>
      <c r="X12" s="3">
        <f t="shared" si="5"/>
        <v>0.57522875816993457</v>
      </c>
      <c r="Y12" s="3">
        <f t="shared" si="17"/>
        <v>9.8009875804279528E-3</v>
      </c>
      <c r="Z12" s="12">
        <f t="shared" si="18"/>
        <v>1.6267568974492448E-2</v>
      </c>
      <c r="AA12" s="3">
        <f t="shared" si="6"/>
        <v>0</v>
      </c>
      <c r="AB12" s="7">
        <f t="shared" si="19"/>
        <v>9.3851642761960691E-3</v>
      </c>
      <c r="AC12" s="16">
        <f t="shared" si="7"/>
        <v>1760.1999999999998</v>
      </c>
      <c r="AD12" s="1">
        <f t="shared" si="8"/>
        <v>1.6104893284747523</v>
      </c>
      <c r="AE12" s="1">
        <f t="shared" si="9"/>
        <v>0</v>
      </c>
      <c r="AF12" s="22">
        <f t="shared" si="20"/>
        <v>1.5720150162628417</v>
      </c>
      <c r="AG12" s="18">
        <f t="shared" si="21"/>
        <v>1.9374999999999998</v>
      </c>
      <c r="AH12" s="21"/>
      <c r="AI12" s="23">
        <f>1+((1-AG12)*0.5)</f>
        <v>0.53125000000000011</v>
      </c>
      <c r="AJ12" s="20"/>
      <c r="AK12" s="12">
        <f>V12*AI12</f>
        <v>8.9255712365591405E-3</v>
      </c>
      <c r="AL12" s="3"/>
      <c r="AM12" s="28">
        <f t="shared" si="23"/>
        <v>9.5550763924142114E-3</v>
      </c>
      <c r="AN12" s="17"/>
      <c r="AO12" s="31">
        <f>AM12*$AO$25</f>
        <v>0.94595256284900697</v>
      </c>
      <c r="AP12" s="32"/>
      <c r="AQ12" s="33">
        <f t="shared" si="24"/>
        <v>0.94595256284900697</v>
      </c>
    </row>
    <row r="13" spans="1:43" x14ac:dyDescent="0.3">
      <c r="A13" s="1" t="s">
        <v>17</v>
      </c>
      <c r="B13" s="6">
        <v>29</v>
      </c>
      <c r="C13" s="1">
        <v>18</v>
      </c>
      <c r="D13" s="2">
        <v>1772</v>
      </c>
      <c r="E13" s="1">
        <v>0</v>
      </c>
      <c r="F13" s="1">
        <v>3</v>
      </c>
      <c r="G13" s="1">
        <v>3</v>
      </c>
      <c r="H13" s="3">
        <f t="shared" si="12"/>
        <v>0</v>
      </c>
      <c r="I13" s="3">
        <f t="shared" si="13"/>
        <v>4.2253521126760563E-2</v>
      </c>
      <c r="J13" s="3">
        <f t="shared" si="14"/>
        <v>1.8292682926829267E-2</v>
      </c>
      <c r="K13" s="7">
        <f t="shared" si="15"/>
        <v>0.57908496732026149</v>
      </c>
      <c r="L13" s="6">
        <v>29</v>
      </c>
      <c r="M13" s="1">
        <v>19</v>
      </c>
      <c r="N13" s="1">
        <v>1699</v>
      </c>
      <c r="O13" s="1">
        <v>2</v>
      </c>
      <c r="P13" s="1">
        <v>2</v>
      </c>
      <c r="Q13" s="1">
        <v>4</v>
      </c>
      <c r="R13" s="3">
        <f t="shared" si="0"/>
        <v>2.0833333333333332E-2</v>
      </c>
      <c r="S13" s="3">
        <f t="shared" si="1"/>
        <v>3.0303030303030304E-2</v>
      </c>
      <c r="T13" s="3">
        <f t="shared" si="16"/>
        <v>2.4539877300613498E-2</v>
      </c>
      <c r="U13" s="7">
        <f t="shared" si="2"/>
        <v>0.55522875816993467</v>
      </c>
      <c r="V13" s="3">
        <f t="shared" si="3"/>
        <v>1.2499999999999999E-2</v>
      </c>
      <c r="W13" s="3">
        <f t="shared" si="4"/>
        <v>3.5083226632522405E-2</v>
      </c>
      <c r="X13" s="3">
        <f t="shared" si="5"/>
        <v>0.56477124183006544</v>
      </c>
      <c r="Y13" s="3">
        <f t="shared" si="17"/>
        <v>2.2040999551099803E-2</v>
      </c>
      <c r="Z13" s="12">
        <f t="shared" si="18"/>
        <v>1.2103071317022382E-2</v>
      </c>
      <c r="AA13" s="3">
        <f t="shared" si="6"/>
        <v>3.3012048192771086E-2</v>
      </c>
      <c r="AB13" s="7">
        <f t="shared" si="19"/>
        <v>2.110587325013253E-2</v>
      </c>
      <c r="AC13" s="16">
        <f t="shared" si="7"/>
        <v>1728.2000000000003</v>
      </c>
      <c r="AD13" s="1">
        <f t="shared" si="8"/>
        <v>1.1982040603852158</v>
      </c>
      <c r="AE13" s="1">
        <f t="shared" si="9"/>
        <v>2.2613253012048196</v>
      </c>
      <c r="AF13" s="22">
        <f t="shared" si="20"/>
        <v>3.5352337693971987</v>
      </c>
      <c r="AG13" s="18"/>
      <c r="AH13" s="21">
        <f t="shared" si="22"/>
        <v>0.71717171717171724</v>
      </c>
      <c r="AI13" s="23"/>
      <c r="AJ13" s="20">
        <f>1+((1-AH13)*0.5)</f>
        <v>1.1414141414141414</v>
      </c>
      <c r="AK13" s="12"/>
      <c r="AL13" s="3">
        <f>W13*AJ13</f>
        <v>4.0044491004798302E-2</v>
      </c>
      <c r="AM13" s="28"/>
      <c r="AN13" s="17">
        <f>AL13/$AL$26</f>
        <v>3.0939488553094131E-2</v>
      </c>
      <c r="AO13" s="31"/>
      <c r="AP13" s="32">
        <f>$AP$25*AN13</f>
        <v>2.1193549658869482</v>
      </c>
      <c r="AQ13" s="33">
        <f t="shared" si="24"/>
        <v>2.1193549658869482</v>
      </c>
    </row>
    <row r="14" spans="1:43" x14ac:dyDescent="0.3">
      <c r="A14" s="1" t="s">
        <v>18</v>
      </c>
      <c r="B14" s="6">
        <v>22</v>
      </c>
      <c r="C14" s="1">
        <v>16</v>
      </c>
      <c r="D14" s="2">
        <v>1390</v>
      </c>
      <c r="E14" s="1">
        <v>2</v>
      </c>
      <c r="F14" s="1">
        <v>0</v>
      </c>
      <c r="G14" s="1">
        <v>2</v>
      </c>
      <c r="H14" s="3">
        <f t="shared" si="12"/>
        <v>2.1505376344086023E-2</v>
      </c>
      <c r="I14" s="3">
        <f t="shared" si="13"/>
        <v>0</v>
      </c>
      <c r="J14" s="3">
        <f t="shared" si="14"/>
        <v>1.2195121951219513E-2</v>
      </c>
      <c r="K14" s="7">
        <f t="shared" si="15"/>
        <v>0.45424836601307189</v>
      </c>
      <c r="L14" s="6"/>
      <c r="R14" s="3"/>
      <c r="S14" s="3"/>
      <c r="T14" s="3"/>
      <c r="U14" s="7"/>
      <c r="V14" s="3"/>
      <c r="W14" s="3"/>
      <c r="X14" s="3"/>
      <c r="Y14" s="3"/>
      <c r="Z14" s="12"/>
      <c r="AA14" s="3"/>
      <c r="AB14" s="7"/>
      <c r="AC14" s="16"/>
      <c r="AF14" s="22">
        <f t="shared" si="20"/>
        <v>0</v>
      </c>
      <c r="AG14" s="18"/>
      <c r="AH14" s="21"/>
      <c r="AI14" s="23"/>
      <c r="AK14" s="12"/>
      <c r="AL14" s="3"/>
      <c r="AM14" s="28"/>
      <c r="AN14" s="17"/>
      <c r="AO14" s="31"/>
      <c r="AP14" s="32"/>
      <c r="AQ14" s="33"/>
    </row>
    <row r="15" spans="1:43" x14ac:dyDescent="0.3">
      <c r="A15" s="1" t="s">
        <v>19</v>
      </c>
      <c r="B15" s="6">
        <v>19</v>
      </c>
      <c r="C15" s="1">
        <v>15</v>
      </c>
      <c r="D15" s="2">
        <v>1197</v>
      </c>
      <c r="E15" s="1">
        <v>0</v>
      </c>
      <c r="F15" s="1">
        <v>3</v>
      </c>
      <c r="G15" s="1">
        <v>3</v>
      </c>
      <c r="H15" s="3">
        <f t="shared" si="12"/>
        <v>0</v>
      </c>
      <c r="I15" s="3">
        <f t="shared" si="13"/>
        <v>4.2253521126760563E-2</v>
      </c>
      <c r="J15" s="3">
        <f t="shared" si="14"/>
        <v>1.8292682926829267E-2</v>
      </c>
      <c r="K15" s="7">
        <f t="shared" si="15"/>
        <v>0.39117647058823529</v>
      </c>
      <c r="L15" s="6"/>
      <c r="R15" s="3"/>
      <c r="S15" s="3"/>
      <c r="T15" s="3"/>
      <c r="U15" s="7"/>
      <c r="V15" s="3"/>
      <c r="W15" s="3"/>
      <c r="X15" s="3"/>
      <c r="Y15" s="3"/>
      <c r="Z15" s="12"/>
      <c r="AA15" s="3"/>
      <c r="AB15" s="7"/>
      <c r="AC15" s="16"/>
      <c r="AF15" s="22">
        <f t="shared" si="20"/>
        <v>0</v>
      </c>
      <c r="AG15" s="18"/>
      <c r="AH15" s="21"/>
      <c r="AI15" s="23"/>
      <c r="AK15" s="12"/>
      <c r="AL15" s="3"/>
      <c r="AM15" s="28"/>
      <c r="AN15" s="17"/>
      <c r="AO15" s="31"/>
      <c r="AP15" s="32"/>
      <c r="AQ15" s="33"/>
    </row>
    <row r="16" spans="1:43" x14ac:dyDescent="0.3">
      <c r="A16" s="1" t="s">
        <v>20</v>
      </c>
      <c r="B16" s="6">
        <v>17</v>
      </c>
      <c r="C16" s="1">
        <v>15</v>
      </c>
      <c r="D16" s="2">
        <v>1113</v>
      </c>
      <c r="E16" s="1">
        <v>3</v>
      </c>
      <c r="F16" s="1">
        <v>3</v>
      </c>
      <c r="G16" s="1">
        <v>6</v>
      </c>
      <c r="H16" s="3">
        <f t="shared" si="12"/>
        <v>3.2258064516129031E-2</v>
      </c>
      <c r="I16" s="3">
        <f t="shared" si="13"/>
        <v>4.2253521126760563E-2</v>
      </c>
      <c r="J16" s="3">
        <f t="shared" si="14"/>
        <v>3.6585365853658534E-2</v>
      </c>
      <c r="K16" s="7">
        <f t="shared" si="15"/>
        <v>0.36372549019607842</v>
      </c>
      <c r="L16" s="6">
        <v>28</v>
      </c>
      <c r="M16" s="1">
        <v>14</v>
      </c>
      <c r="N16" s="1">
        <v>1282</v>
      </c>
      <c r="O16" s="1">
        <v>5</v>
      </c>
      <c r="P16" s="1">
        <v>4</v>
      </c>
      <c r="Q16" s="1">
        <v>9</v>
      </c>
      <c r="R16" s="3">
        <f>O16/$O$25</f>
        <v>5.2083333333333336E-2</v>
      </c>
      <c r="S16" s="3">
        <f>P16/$P$25</f>
        <v>6.0606060606060608E-2</v>
      </c>
      <c r="T16" s="3">
        <f t="shared" si="16"/>
        <v>5.5214723926380369E-2</v>
      </c>
      <c r="U16" s="7">
        <f>N16/$D$26</f>
        <v>0.41895424836601308</v>
      </c>
      <c r="V16" s="3">
        <f t="shared" ref="V16:W19" si="25">(H16*0.4)+(R16*0.6)</f>
        <v>4.4153225806451611E-2</v>
      </c>
      <c r="W16" s="3">
        <f t="shared" si="25"/>
        <v>5.3265044814340592E-2</v>
      </c>
      <c r="X16" s="3">
        <f>(K16*0.4)+(U16*0.6)</f>
        <v>0.3968627450980392</v>
      </c>
      <c r="Y16" s="3">
        <f t="shared" si="17"/>
        <v>4.7762980697291631E-2</v>
      </c>
      <c r="Z16" s="12">
        <f>V16/$V$26</f>
        <v>4.2751171264966158E-2</v>
      </c>
      <c r="AA16" s="3">
        <f>W16/$W$26</f>
        <v>5.0120481927710847E-2</v>
      </c>
      <c r="AB16" s="7">
        <f t="shared" si="19"/>
        <v>4.57365562894929E-2</v>
      </c>
      <c r="AC16" s="16">
        <f>$D$26*X16</f>
        <v>1214.3999999999999</v>
      </c>
      <c r="AD16" s="1">
        <f>$AD$25*Z16</f>
        <v>4.2323659552316499</v>
      </c>
      <c r="AE16" s="1">
        <f>$AE$25*AA16</f>
        <v>3.4332530120481932</v>
      </c>
      <c r="AF16" s="22">
        <f t="shared" si="20"/>
        <v>7.6608731784900606</v>
      </c>
      <c r="AG16" s="18">
        <f t="shared" si="21"/>
        <v>1.6145833333333335</v>
      </c>
      <c r="AH16" s="21">
        <f t="shared" si="22"/>
        <v>1.4343434343434345</v>
      </c>
      <c r="AI16" s="23">
        <f>1+((1-AG16)*0.5)</f>
        <v>0.69270833333333326</v>
      </c>
      <c r="AJ16" s="20">
        <f>1+((1-AH16)*0.5)</f>
        <v>0.78282828282828276</v>
      </c>
      <c r="AK16" s="12">
        <f>V16*AI16</f>
        <v>3.0585307459677413E-2</v>
      </c>
      <c r="AL16" s="3">
        <f>W16*AJ16</f>
        <v>4.1697383566781772E-2</v>
      </c>
      <c r="AM16" s="28">
        <f t="shared" si="23"/>
        <v>3.2742436480217491E-2</v>
      </c>
      <c r="AN16" s="17">
        <f>AL16/$AL$26</f>
        <v>3.2216559361532032E-2</v>
      </c>
      <c r="AO16" s="31">
        <f>AM16*$AO$25</f>
        <v>3.2415012115415314</v>
      </c>
      <c r="AP16" s="32">
        <f>$AP$25*AN16</f>
        <v>2.2068343162649442</v>
      </c>
      <c r="AQ16" s="33">
        <f t="shared" si="24"/>
        <v>5.448335527806476</v>
      </c>
    </row>
    <row r="17" spans="1:43" x14ac:dyDescent="0.3">
      <c r="A17" s="1" t="s">
        <v>21</v>
      </c>
      <c r="B17" s="6">
        <v>19</v>
      </c>
      <c r="C17" s="1">
        <v>14</v>
      </c>
      <c r="D17" s="2">
        <v>1227</v>
      </c>
      <c r="E17" s="1">
        <v>2</v>
      </c>
      <c r="F17" s="1">
        <v>2</v>
      </c>
      <c r="G17" s="1">
        <v>4</v>
      </c>
      <c r="H17" s="3">
        <f t="shared" si="12"/>
        <v>2.1505376344086023E-2</v>
      </c>
      <c r="I17" s="3">
        <f t="shared" si="13"/>
        <v>2.8169014084507043E-2</v>
      </c>
      <c r="J17" s="3">
        <f t="shared" si="14"/>
        <v>2.4390243902439025E-2</v>
      </c>
      <c r="K17" s="7">
        <f t="shared" si="15"/>
        <v>0.40098039215686276</v>
      </c>
      <c r="L17" s="6">
        <v>21</v>
      </c>
      <c r="M17" s="1">
        <v>18</v>
      </c>
      <c r="N17" s="1">
        <v>1451</v>
      </c>
      <c r="O17" s="1">
        <v>1</v>
      </c>
      <c r="P17" s="1">
        <v>0</v>
      </c>
      <c r="Q17" s="1">
        <v>1</v>
      </c>
      <c r="R17" s="3">
        <f>O17/$O$25</f>
        <v>1.0416666666666666E-2</v>
      </c>
      <c r="S17" s="3">
        <f>P17/$P$25</f>
        <v>0</v>
      </c>
      <c r="T17" s="3">
        <f t="shared" si="16"/>
        <v>6.1349693251533744E-3</v>
      </c>
      <c r="U17" s="7">
        <f>N17/$D$26</f>
        <v>0.47418300653594769</v>
      </c>
      <c r="V17" s="3">
        <f t="shared" si="25"/>
        <v>1.4852150537634411E-2</v>
      </c>
      <c r="W17" s="3">
        <f t="shared" si="25"/>
        <v>1.1267605633802818E-2</v>
      </c>
      <c r="X17" s="3">
        <f>(K17*0.4)+(U17*0.6)</f>
        <v>0.44490196078431371</v>
      </c>
      <c r="Y17" s="3">
        <f t="shared" si="17"/>
        <v>1.3437079156067636E-2</v>
      </c>
      <c r="Z17" s="12">
        <f>V17/$V$26</f>
        <v>1.4380530973451327E-2</v>
      </c>
      <c r="AA17" s="3">
        <f>W17/$W$26</f>
        <v>1.0602409638554218E-2</v>
      </c>
      <c r="AB17" s="7">
        <f t="shared" si="19"/>
        <v>1.286698858018942E-2</v>
      </c>
      <c r="AC17" s="16">
        <f>$D$26*X17</f>
        <v>1361.3999999999999</v>
      </c>
      <c r="AD17" s="1">
        <f>$AD$25*Z17</f>
        <v>1.4236725663716814</v>
      </c>
      <c r="AE17" s="1">
        <f>$AE$25*AA17</f>
        <v>0.72626506024096393</v>
      </c>
      <c r="AF17" s="22">
        <f t="shared" si="20"/>
        <v>2.155220587181728</v>
      </c>
      <c r="AG17" s="18">
        <f t="shared" si="21"/>
        <v>0.48437499999999994</v>
      </c>
      <c r="AH17" s="21"/>
      <c r="AI17" s="23">
        <f>1+((1-AG17)*0.5)</f>
        <v>1.2578125</v>
      </c>
      <c r="AK17" s="12">
        <f>V17*AI17</f>
        <v>1.8681220598118282E-2</v>
      </c>
      <c r="AL17" s="3"/>
      <c r="AM17" s="28">
        <f t="shared" si="23"/>
        <v>1.9998774889322946E-2</v>
      </c>
      <c r="AN17" s="17"/>
      <c r="AO17" s="31">
        <f>AM17*$AO$25</f>
        <v>1.9798787140429717</v>
      </c>
      <c r="AP17" s="32"/>
      <c r="AQ17" s="33">
        <f t="shared" si="24"/>
        <v>1.9798787140429717</v>
      </c>
    </row>
    <row r="18" spans="1:43" x14ac:dyDescent="0.3">
      <c r="A18" s="1" t="s">
        <v>22</v>
      </c>
      <c r="B18" s="6">
        <v>20</v>
      </c>
      <c r="C18" s="1">
        <v>13</v>
      </c>
      <c r="D18" s="2">
        <v>1191</v>
      </c>
      <c r="E18" s="1">
        <v>3</v>
      </c>
      <c r="F18" s="1">
        <v>0</v>
      </c>
      <c r="G18" s="1">
        <v>3</v>
      </c>
      <c r="H18" s="3">
        <f t="shared" si="12"/>
        <v>3.2258064516129031E-2</v>
      </c>
      <c r="I18" s="3">
        <f t="shared" si="13"/>
        <v>0</v>
      </c>
      <c r="J18" s="3">
        <f t="shared" si="14"/>
        <v>1.8292682926829267E-2</v>
      </c>
      <c r="K18" s="7">
        <f t="shared" si="15"/>
        <v>0.38921568627450981</v>
      </c>
      <c r="L18" s="6">
        <v>23</v>
      </c>
      <c r="M18" s="1">
        <v>19</v>
      </c>
      <c r="N18" s="1">
        <v>1572</v>
      </c>
      <c r="O18" s="1">
        <v>4</v>
      </c>
      <c r="P18" s="1">
        <v>4</v>
      </c>
      <c r="Q18" s="1">
        <v>8</v>
      </c>
      <c r="R18" s="3">
        <f>O18/$O$25</f>
        <v>4.1666666666666664E-2</v>
      </c>
      <c r="S18" s="3">
        <f>P18/$P$25</f>
        <v>6.0606060606060608E-2</v>
      </c>
      <c r="T18" s="3">
        <f t="shared" si="16"/>
        <v>4.9079754601226995E-2</v>
      </c>
      <c r="U18" s="7">
        <f>N18/$D$26</f>
        <v>0.51372549019607838</v>
      </c>
      <c r="V18" s="3">
        <f t="shared" si="25"/>
        <v>3.7903225806451613E-2</v>
      </c>
      <c r="W18" s="3">
        <f t="shared" si="25"/>
        <v>3.6363636363636362E-2</v>
      </c>
      <c r="X18" s="3">
        <f>(K18*0.4)+(U18*0.6)</f>
        <v>0.46392156862745093</v>
      </c>
      <c r="Y18" s="3">
        <f t="shared" si="17"/>
        <v>3.6764925931467907E-2</v>
      </c>
      <c r="Z18" s="12">
        <f>V18/$V$26</f>
        <v>3.6699635606454964E-2</v>
      </c>
      <c r="AA18" s="3">
        <f>W18/$W$26</f>
        <v>3.4216867469879515E-2</v>
      </c>
      <c r="AB18" s="7">
        <f t="shared" si="19"/>
        <v>3.5205112407043881E-2</v>
      </c>
      <c r="AC18" s="16">
        <f>$D$26*X18</f>
        <v>1419.6</v>
      </c>
      <c r="AD18" s="1">
        <f>$AD$25*Z18</f>
        <v>3.6332639250390413</v>
      </c>
      <c r="AE18" s="1">
        <f>$AE$25*AA18</f>
        <v>2.3438554216867469</v>
      </c>
      <c r="AF18" s="22">
        <f t="shared" si="20"/>
        <v>5.8968563281798501</v>
      </c>
      <c r="AG18" s="18">
        <f t="shared" si="21"/>
        <v>1.2916666666666667</v>
      </c>
      <c r="AH18" s="21"/>
      <c r="AI18" s="23">
        <f>1+((1-AG18)*0.5)</f>
        <v>0.85416666666666663</v>
      </c>
      <c r="AK18" s="12">
        <f>V18*AI18</f>
        <v>3.2375672043010749E-2</v>
      </c>
      <c r="AL18" s="3"/>
      <c r="AM18" s="28">
        <f t="shared" si="23"/>
        <v>3.4659072391872339E-2</v>
      </c>
      <c r="AN18" s="17"/>
      <c r="AO18" s="31">
        <f>AM18*$AO$25</f>
        <v>3.4312481667953616</v>
      </c>
      <c r="AP18" s="32"/>
      <c r="AQ18" s="33">
        <f t="shared" si="24"/>
        <v>3.4312481667953616</v>
      </c>
    </row>
    <row r="19" spans="1:43" x14ac:dyDescent="0.3">
      <c r="A19" s="1" t="s">
        <v>23</v>
      </c>
      <c r="B19" s="6">
        <v>15</v>
      </c>
      <c r="C19" s="1">
        <v>13</v>
      </c>
      <c r="D19" s="2">
        <v>1166</v>
      </c>
      <c r="E19" s="1">
        <v>0</v>
      </c>
      <c r="F19" s="1">
        <v>0</v>
      </c>
      <c r="G19" s="1">
        <v>0</v>
      </c>
      <c r="H19" s="3">
        <f t="shared" si="12"/>
        <v>0</v>
      </c>
      <c r="I19" s="3">
        <f t="shared" si="13"/>
        <v>0</v>
      </c>
      <c r="J19" s="3">
        <f t="shared" si="14"/>
        <v>0</v>
      </c>
      <c r="K19" s="7">
        <f t="shared" si="15"/>
        <v>0.38104575163398691</v>
      </c>
      <c r="L19" s="6">
        <v>21</v>
      </c>
      <c r="M19" s="1">
        <v>16</v>
      </c>
      <c r="N19" s="1">
        <v>1463</v>
      </c>
      <c r="O19" s="1">
        <v>2</v>
      </c>
      <c r="P19" s="1">
        <v>1</v>
      </c>
      <c r="Q19" s="1">
        <v>3</v>
      </c>
      <c r="R19" s="3">
        <f>O19/$O$25</f>
        <v>2.0833333333333332E-2</v>
      </c>
      <c r="S19" s="3">
        <f>P19/$P$25</f>
        <v>1.5151515151515152E-2</v>
      </c>
      <c r="T19" s="3">
        <f t="shared" si="16"/>
        <v>1.8404907975460124E-2</v>
      </c>
      <c r="U19" s="7">
        <f>N19/$D$26</f>
        <v>0.47810457516339872</v>
      </c>
      <c r="V19" s="3">
        <f t="shared" si="25"/>
        <v>1.2499999999999999E-2</v>
      </c>
      <c r="W19" s="3">
        <f t="shared" si="25"/>
        <v>9.0909090909090905E-3</v>
      </c>
      <c r="X19" s="3">
        <f>(K19*0.4)+(U19*0.6)</f>
        <v>0.43928104575163396</v>
      </c>
      <c r="Y19" s="3">
        <f t="shared" si="17"/>
        <v>1.1042944785276074E-2</v>
      </c>
      <c r="Z19" s="12">
        <f>V19/$V$26</f>
        <v>1.2103071317022382E-2</v>
      </c>
      <c r="AA19" s="3">
        <f>W19/$W$26</f>
        <v>8.5542168674698788E-3</v>
      </c>
      <c r="AB19" s="7">
        <f t="shared" si="19"/>
        <v>1.057442936768351E-2</v>
      </c>
      <c r="AC19" s="16">
        <f>$D$26*X19</f>
        <v>1344.1999999999998</v>
      </c>
      <c r="AD19" s="1">
        <f>$AD$25*Z19</f>
        <v>1.1982040603852158</v>
      </c>
      <c r="AE19" s="1">
        <f>$AE$25*AA19</f>
        <v>0.58596385542168672</v>
      </c>
      <c r="AF19" s="22">
        <f t="shared" si="20"/>
        <v>1.771216919086988</v>
      </c>
      <c r="AG19" s="18"/>
      <c r="AH19" s="21"/>
      <c r="AI19" s="23"/>
      <c r="AK19" s="12"/>
      <c r="AL19" s="3"/>
      <c r="AM19" s="28"/>
      <c r="AN19" s="17"/>
      <c r="AO19" s="31"/>
      <c r="AP19" s="32"/>
      <c r="AQ19" s="33"/>
    </row>
    <row r="20" spans="1:43" x14ac:dyDescent="0.3">
      <c r="A20" s="1" t="s">
        <v>24</v>
      </c>
      <c r="B20" s="6">
        <v>27</v>
      </c>
      <c r="C20" s="1">
        <v>7</v>
      </c>
      <c r="D20" s="1">
        <v>717</v>
      </c>
      <c r="E20" s="1">
        <v>2</v>
      </c>
      <c r="F20" s="1">
        <v>2</v>
      </c>
      <c r="G20" s="1">
        <v>4</v>
      </c>
      <c r="H20" s="3">
        <f t="shared" si="12"/>
        <v>2.1505376344086023E-2</v>
      </c>
      <c r="I20" s="3">
        <f t="shared" si="13"/>
        <v>2.8169014084507043E-2</v>
      </c>
      <c r="J20" s="3">
        <f t="shared" si="14"/>
        <v>2.4390243902439025E-2</v>
      </c>
      <c r="K20" s="7">
        <f t="shared" si="15"/>
        <v>0.23431372549019608</v>
      </c>
      <c r="L20" s="6"/>
      <c r="R20" s="3"/>
      <c r="S20" s="3"/>
      <c r="T20" s="3"/>
      <c r="U20" s="7"/>
      <c r="V20" s="3"/>
      <c r="W20" s="3"/>
      <c r="X20" s="3"/>
      <c r="Y20" s="3"/>
      <c r="Z20" s="12"/>
      <c r="AA20" s="3"/>
      <c r="AB20" s="7"/>
      <c r="AC20" s="16"/>
      <c r="AF20" s="22">
        <f t="shared" si="20"/>
        <v>0</v>
      </c>
      <c r="AG20" s="18"/>
      <c r="AH20" s="21"/>
      <c r="AI20" s="23"/>
      <c r="AK20" s="12"/>
      <c r="AL20" s="3"/>
      <c r="AM20" s="28"/>
      <c r="AN20" s="17"/>
      <c r="AO20" s="31"/>
      <c r="AP20" s="32"/>
      <c r="AQ20" s="33"/>
    </row>
    <row r="21" spans="1:43" x14ac:dyDescent="0.3">
      <c r="A21" s="1" t="s">
        <v>25</v>
      </c>
      <c r="B21" s="6">
        <v>30</v>
      </c>
      <c r="C21" s="1">
        <v>6</v>
      </c>
      <c r="D21" s="2">
        <v>1050</v>
      </c>
      <c r="E21" s="1">
        <v>7</v>
      </c>
      <c r="F21" s="1">
        <v>5</v>
      </c>
      <c r="G21" s="1">
        <v>12</v>
      </c>
      <c r="H21" s="3">
        <f t="shared" si="12"/>
        <v>7.5268817204301078E-2</v>
      </c>
      <c r="I21" s="3">
        <f t="shared" si="13"/>
        <v>7.0422535211267609E-2</v>
      </c>
      <c r="J21" s="3">
        <f t="shared" si="14"/>
        <v>7.3170731707317069E-2</v>
      </c>
      <c r="K21" s="7">
        <f t="shared" si="15"/>
        <v>0.34313725490196079</v>
      </c>
      <c r="L21" s="6">
        <v>8</v>
      </c>
      <c r="M21" s="1">
        <v>2</v>
      </c>
      <c r="N21" s="1">
        <v>256</v>
      </c>
      <c r="O21" s="1">
        <v>0</v>
      </c>
      <c r="P21" s="1">
        <v>1</v>
      </c>
      <c r="Q21" s="1">
        <v>1</v>
      </c>
      <c r="R21" s="3">
        <f>O21/$O$25</f>
        <v>0</v>
      </c>
      <c r="S21" s="3">
        <f>P21/$P$25</f>
        <v>1.5151515151515152E-2</v>
      </c>
      <c r="T21" s="3">
        <f t="shared" si="16"/>
        <v>6.1349693251533744E-3</v>
      </c>
      <c r="U21" s="7">
        <f>N21/$D$26</f>
        <v>8.3660130718954243E-2</v>
      </c>
      <c r="V21" s="3">
        <f>(H21*0.4)+(R21*0.6)</f>
        <v>3.0107526881720432E-2</v>
      </c>
      <c r="W21" s="3">
        <f>(I21*0.4)+(S21*0.6)</f>
        <v>3.725992317541614E-2</v>
      </c>
      <c r="X21" s="3">
        <f>(K21*0.4)+(U21*0.6)</f>
        <v>0.18745098039215688</v>
      </c>
      <c r="Y21" s="3">
        <f t="shared" si="17"/>
        <v>3.2949274278018852E-2</v>
      </c>
      <c r="Z21" s="12">
        <f>V21/$V$26</f>
        <v>2.915148360229047E-2</v>
      </c>
      <c r="AA21" s="3">
        <f>W21/$W$26</f>
        <v>3.5060240963855432E-2</v>
      </c>
      <c r="AB21" s="7">
        <f t="shared" si="19"/>
        <v>3.1551346162112581E-2</v>
      </c>
      <c r="AC21" s="16">
        <f>$D$26*X21</f>
        <v>573.6</v>
      </c>
      <c r="AD21" s="1">
        <f>$AD$25*Z21</f>
        <v>2.8859968766267565</v>
      </c>
      <c r="AE21" s="1">
        <f>$AE$25*AA21</f>
        <v>2.4016265060240971</v>
      </c>
      <c r="AF21" s="22">
        <f t="shared" si="20"/>
        <v>5.2848504821538578</v>
      </c>
      <c r="AG21" s="21"/>
      <c r="AH21" s="21">
        <f t="shared" si="22"/>
        <v>0.21515151515151515</v>
      </c>
      <c r="AI21" s="23"/>
      <c r="AJ21" s="20">
        <f>1+((1-AH21)*0.5)</f>
        <v>1.3924242424242426</v>
      </c>
      <c r="AK21" s="12"/>
      <c r="AL21" s="7">
        <f>X21*AJ21</f>
        <v>0.26101128936423057</v>
      </c>
      <c r="AM21" s="28"/>
      <c r="AN21" s="17">
        <f>AL21/$AL$26</f>
        <v>0.20166458848347713</v>
      </c>
      <c r="AO21" s="31"/>
      <c r="AP21" s="32">
        <f>$AP$25*AN21</f>
        <v>13.814024311118184</v>
      </c>
      <c r="AQ21" s="33">
        <f t="shared" si="24"/>
        <v>13.814024311118184</v>
      </c>
    </row>
    <row r="22" spans="1:43" x14ac:dyDescent="0.3">
      <c r="A22" s="1" t="s">
        <v>26</v>
      </c>
      <c r="B22" s="6">
        <v>10</v>
      </c>
      <c r="C22" s="1">
        <v>5</v>
      </c>
      <c r="D22" s="1">
        <v>432</v>
      </c>
      <c r="E22" s="1">
        <v>3</v>
      </c>
      <c r="F22" s="1">
        <v>1</v>
      </c>
      <c r="G22" s="1">
        <v>4</v>
      </c>
      <c r="H22" s="3">
        <f t="shared" si="12"/>
        <v>3.2258064516129031E-2</v>
      </c>
      <c r="I22" s="3">
        <f t="shared" si="13"/>
        <v>1.4084507042253521E-2</v>
      </c>
      <c r="J22" s="3">
        <f t="shared" si="14"/>
        <v>2.4390243902439025E-2</v>
      </c>
      <c r="K22" s="7">
        <f t="shared" si="15"/>
        <v>0.14117647058823529</v>
      </c>
      <c r="L22" s="6">
        <v>27</v>
      </c>
      <c r="M22" s="1">
        <v>13</v>
      </c>
      <c r="N22" s="1">
        <v>1242</v>
      </c>
      <c r="O22" s="1">
        <v>7</v>
      </c>
      <c r="P22" s="1">
        <v>5</v>
      </c>
      <c r="Q22" s="1">
        <v>12</v>
      </c>
      <c r="R22" s="3">
        <f>O22/$O$25</f>
        <v>7.2916666666666671E-2</v>
      </c>
      <c r="S22" s="3">
        <f>P22/$P$25</f>
        <v>7.575757575757576E-2</v>
      </c>
      <c r="T22" s="3">
        <f t="shared" si="16"/>
        <v>7.3619631901840496E-2</v>
      </c>
      <c r="U22" s="7">
        <f>N22/$D$26</f>
        <v>0.40588235294117647</v>
      </c>
      <c r="V22" s="3">
        <f>(H22*0.4)+(R22*0.6)</f>
        <v>5.6653225806451615E-2</v>
      </c>
      <c r="W22" s="3">
        <f>(I22*0.4)+(S22*0.6)</f>
        <v>5.1088348271446864E-2</v>
      </c>
      <c r="X22" s="3">
        <f>(K22*0.4)+(U22*0.6)</f>
        <v>0.3</v>
      </c>
      <c r="Y22" s="3">
        <f t="shared" si="17"/>
        <v>5.3927876702079908E-2</v>
      </c>
      <c r="Z22" s="12">
        <f>V22/$V$26</f>
        <v>5.4854242581988545E-2</v>
      </c>
      <c r="AA22" s="3">
        <f>W22/$W$26</f>
        <v>4.8072289156626508E-2</v>
      </c>
      <c r="AB22" s="7">
        <f t="shared" si="19"/>
        <v>5.1639896261695621E-2</v>
      </c>
      <c r="AC22" s="16">
        <f>$D$26*X22</f>
        <v>918</v>
      </c>
      <c r="AD22" s="1">
        <f>$AD$25*Z22</f>
        <v>5.4305700156168664</v>
      </c>
      <c r="AE22" s="1">
        <f>$AE$25*AA22</f>
        <v>3.2929518072289157</v>
      </c>
      <c r="AF22" s="22">
        <f t="shared" si="20"/>
        <v>8.6496826238340159</v>
      </c>
      <c r="AG22" s="18">
        <f t="shared" si="21"/>
        <v>2.260416666666667</v>
      </c>
      <c r="AH22" s="21">
        <f>MIN(1.5, S22/I22)</f>
        <v>1.5</v>
      </c>
      <c r="AI22" s="23">
        <f>1+((1-AG22)*0.5)</f>
        <v>0.36979166666666652</v>
      </c>
      <c r="AJ22" s="20">
        <f>1+((1-AH22)*0.5)</f>
        <v>0.75</v>
      </c>
      <c r="AK22" s="12">
        <f t="shared" ref="AK22:AL24" si="26">V22*AI22</f>
        <v>2.0949890793010746E-2</v>
      </c>
      <c r="AL22" s="3">
        <f t="shared" si="26"/>
        <v>3.8316261203585146E-2</v>
      </c>
      <c r="AM22" s="28">
        <f t="shared" si="23"/>
        <v>2.2427450482947746E-2</v>
      </c>
      <c r="AN22" s="17">
        <f>AL22/$AL$26</f>
        <v>2.9604210096306066E-2</v>
      </c>
      <c r="AO22" s="31">
        <f>AM22*$AO$25</f>
        <v>2.2203175978118268</v>
      </c>
      <c r="AP22" s="32">
        <f>$AP$25*AN22</f>
        <v>2.0278883915969654</v>
      </c>
      <c r="AQ22" s="33">
        <f t="shared" si="24"/>
        <v>4.2482059894087918</v>
      </c>
    </row>
    <row r="23" spans="1:43" x14ac:dyDescent="0.3">
      <c r="A23" s="1" t="s">
        <v>29</v>
      </c>
      <c r="B23" s="6"/>
      <c r="H23" s="3">
        <f t="shared" si="12"/>
        <v>0</v>
      </c>
      <c r="I23" s="3">
        <f t="shared" si="13"/>
        <v>0</v>
      </c>
      <c r="J23" s="3"/>
      <c r="K23" s="7">
        <f t="shared" si="15"/>
        <v>0</v>
      </c>
      <c r="L23" s="6">
        <v>34</v>
      </c>
      <c r="M23" s="1">
        <v>28</v>
      </c>
      <c r="N23" s="1">
        <v>2334</v>
      </c>
      <c r="O23" s="1">
        <v>12</v>
      </c>
      <c r="P23" s="1">
        <v>15</v>
      </c>
      <c r="Q23" s="1">
        <v>27</v>
      </c>
      <c r="R23" s="3">
        <f>O23/$O$25</f>
        <v>0.125</v>
      </c>
      <c r="S23" s="3">
        <f>P23/$P$25</f>
        <v>0.22727272727272727</v>
      </c>
      <c r="T23" s="3">
        <f t="shared" si="16"/>
        <v>0.16564417177914109</v>
      </c>
      <c r="U23" s="7">
        <f>N23/$D$26</f>
        <v>0.76274509803921564</v>
      </c>
      <c r="V23" s="3">
        <f>R23</f>
        <v>0.125</v>
      </c>
      <c r="W23" s="3">
        <f>S23</f>
        <v>0.22727272727272727</v>
      </c>
      <c r="X23" s="3">
        <f t="shared" ref="X23" si="27">U23</f>
        <v>0.76274509803921564</v>
      </c>
      <c r="Y23" s="3">
        <f>(T23)</f>
        <v>0.16564417177914109</v>
      </c>
      <c r="Z23" s="12">
        <f>V23/$V$26</f>
        <v>0.12103071317022382</v>
      </c>
      <c r="AA23" s="3">
        <f>W23/$W$26</f>
        <v>0.21385542168674698</v>
      </c>
      <c r="AB23" s="7">
        <f t="shared" si="19"/>
        <v>0.15861644051525264</v>
      </c>
      <c r="AC23" s="16">
        <f>$D$26*X23</f>
        <v>2334</v>
      </c>
      <c r="AD23" s="1">
        <f>$AD$25*Z23</f>
        <v>11.982040603852159</v>
      </c>
      <c r="AE23" s="1">
        <f>$AE$25*AA23</f>
        <v>14.649096385542169</v>
      </c>
      <c r="AF23" s="22">
        <f t="shared" si="20"/>
        <v>26.568253786304819</v>
      </c>
      <c r="AG23" s="18">
        <f>R23/R23</f>
        <v>1</v>
      </c>
      <c r="AH23" s="21">
        <f>S23/S23</f>
        <v>1</v>
      </c>
      <c r="AI23" s="23">
        <f>1+((1-AG23)*0.5)</f>
        <v>1</v>
      </c>
      <c r="AJ23" s="20">
        <f>1+((1-AH23)*0.5)</f>
        <v>1</v>
      </c>
      <c r="AK23" s="12">
        <f t="shared" si="26"/>
        <v>0.125</v>
      </c>
      <c r="AL23" s="3">
        <f t="shared" si="26"/>
        <v>0.22727272727272727</v>
      </c>
      <c r="AM23" s="28">
        <f t="shared" si="23"/>
        <v>0.13381603455917501</v>
      </c>
      <c r="AN23" s="17">
        <f>AL23/$AL$26</f>
        <v>0.17559723616021142</v>
      </c>
      <c r="AO23" s="31">
        <f>AM23*$AO$25</f>
        <v>13.247787421358327</v>
      </c>
      <c r="AP23" s="32">
        <f>$AP$25*AN23</f>
        <v>12.028410676974483</v>
      </c>
      <c r="AQ23" s="33">
        <f t="shared" si="24"/>
        <v>25.276198098332809</v>
      </c>
    </row>
    <row r="24" spans="1:43" x14ac:dyDescent="0.3">
      <c r="A24" s="1" t="s">
        <v>30</v>
      </c>
      <c r="B24" s="6"/>
      <c r="E24" s="1">
        <v>1</v>
      </c>
      <c r="F24" s="1">
        <v>0</v>
      </c>
      <c r="G24" s="1">
        <v>1</v>
      </c>
      <c r="H24" s="3">
        <f t="shared" si="12"/>
        <v>1.0752688172043012E-2</v>
      </c>
      <c r="I24" s="3">
        <f t="shared" si="13"/>
        <v>0</v>
      </c>
      <c r="J24" s="3">
        <f t="shared" si="14"/>
        <v>6.0975609756097563E-3</v>
      </c>
      <c r="K24" s="7"/>
      <c r="L24" s="6"/>
      <c r="O24" s="1">
        <v>1</v>
      </c>
      <c r="P24" s="1">
        <v>4</v>
      </c>
      <c r="Q24" s="1">
        <v>6</v>
      </c>
      <c r="R24" s="3">
        <f>O24/$O$25</f>
        <v>1.0416666666666666E-2</v>
      </c>
      <c r="S24" s="3">
        <f>P24/$P$25</f>
        <v>6.0606060606060608E-2</v>
      </c>
      <c r="T24" s="3">
        <f t="shared" si="16"/>
        <v>3.6809815950920248E-2</v>
      </c>
      <c r="U24" s="7"/>
      <c r="V24" s="3">
        <f>(H24*0.4)+(R24*0.6)</f>
        <v>1.0551075268817205E-2</v>
      </c>
      <c r="W24" s="3">
        <f>(I24*0.4)+(S24*0.6)</f>
        <v>3.6363636363636362E-2</v>
      </c>
      <c r="X24" s="3">
        <f>(K24*0.4)+(U24*0.6)</f>
        <v>0</v>
      </c>
      <c r="Y24" s="3">
        <f t="shared" si="17"/>
        <v>2.4524913960796049E-2</v>
      </c>
      <c r="Z24" s="12">
        <f>V24/$V$26</f>
        <v>1.0216033315981258E-2</v>
      </c>
      <c r="AA24" s="3">
        <f>W24/$W$26</f>
        <v>3.4216867469879515E-2</v>
      </c>
      <c r="AB24" s="7">
        <f t="shared" si="19"/>
        <v>2.3484403433107415E-2</v>
      </c>
      <c r="AC24" s="16"/>
      <c r="AD24" s="1">
        <f>$AD$25*Z24</f>
        <v>1.0113872982821446</v>
      </c>
      <c r="AE24" s="1">
        <f>$AE$25*AA24</f>
        <v>2.3438554216867469</v>
      </c>
      <c r="AF24" s="22">
        <f t="shared" si="20"/>
        <v>3.9336375750454922</v>
      </c>
      <c r="AG24" s="18">
        <f t="shared" si="21"/>
        <v>0.96874999999999989</v>
      </c>
      <c r="AH24" s="21"/>
      <c r="AI24" s="23">
        <f>1+((1-AG24)*0.5)</f>
        <v>1.015625</v>
      </c>
      <c r="AJ24" s="20">
        <f>1+((1-AH24)*0.5)</f>
        <v>1.5</v>
      </c>
      <c r="AK24" s="12">
        <f t="shared" si="26"/>
        <v>1.0715935819892473E-2</v>
      </c>
      <c r="AL24" s="3">
        <f t="shared" si="26"/>
        <v>5.4545454545454543E-2</v>
      </c>
      <c r="AM24" s="28">
        <f t="shared" si="23"/>
        <v>1.147171230406906E-2</v>
      </c>
      <c r="AN24" s="17">
        <f>AL24/$AL$26</f>
        <v>4.2143336678450743E-2</v>
      </c>
      <c r="AO24" s="31">
        <f>AM24*$AO$25</f>
        <v>1.1356995181028369</v>
      </c>
      <c r="AP24" s="32">
        <f>$AP$25*AN24</f>
        <v>2.8868185624738758</v>
      </c>
      <c r="AQ24" s="33">
        <f t="shared" si="24"/>
        <v>4.0225180805767131</v>
      </c>
    </row>
    <row r="25" spans="1:43" x14ac:dyDescent="0.3">
      <c r="A25" s="1" t="s">
        <v>31</v>
      </c>
      <c r="B25" s="6"/>
      <c r="E25" s="1">
        <f>SUM(E3:E24)</f>
        <v>93</v>
      </c>
      <c r="F25" s="1">
        <f>SUM(F3:F24)</f>
        <v>71</v>
      </c>
      <c r="G25" s="1">
        <f>SUM(G3:G24)</f>
        <v>164</v>
      </c>
      <c r="K25" s="8"/>
      <c r="L25" s="6"/>
      <c r="O25" s="1">
        <f>SUM(O3:O24)</f>
        <v>96</v>
      </c>
      <c r="P25" s="1">
        <f t="shared" ref="P25:Q25" si="28">SUM(P3:P24)</f>
        <v>66</v>
      </c>
      <c r="Q25" s="1">
        <f t="shared" si="28"/>
        <v>163</v>
      </c>
      <c r="U25" s="8"/>
      <c r="V25" s="1">
        <f>O25-E25</f>
        <v>3</v>
      </c>
      <c r="W25" s="1">
        <f>P25-F25</f>
        <v>-5</v>
      </c>
      <c r="Z25" s="6"/>
      <c r="AB25" s="8"/>
      <c r="AC25" s="6"/>
      <c r="AD25" s="1">
        <f>O25+V25</f>
        <v>99</v>
      </c>
      <c r="AE25" s="1">
        <f>AVERAGE(F25,P25)</f>
        <v>68.5</v>
      </c>
      <c r="AF25" s="1">
        <f>SUM(AD25:AE25)</f>
        <v>167.5</v>
      </c>
      <c r="AG25" s="18">
        <f>O25/E25</f>
        <v>1.032258064516129</v>
      </c>
      <c r="AH25" s="18">
        <f t="shared" ref="AH25" si="29">P25/F25</f>
        <v>0.92957746478873238</v>
      </c>
      <c r="AI25" s="23"/>
      <c r="AJ25" s="23"/>
      <c r="AK25" s="23"/>
      <c r="AM25" s="6"/>
      <c r="AO25" s="31">
        <f>AD25</f>
        <v>99</v>
      </c>
      <c r="AP25" s="32">
        <f>AE25</f>
        <v>68.5</v>
      </c>
      <c r="AQ25" s="33">
        <f>AF25</f>
        <v>167.5</v>
      </c>
    </row>
    <row r="26" spans="1:43" ht="15" thickBot="1" x14ac:dyDescent="0.35">
      <c r="A26" s="1" t="s">
        <v>35</v>
      </c>
      <c r="B26" s="9"/>
      <c r="C26" s="10"/>
      <c r="D26" s="10">
        <v>3060</v>
      </c>
      <c r="E26" s="10"/>
      <c r="F26" s="10"/>
      <c r="G26" s="10"/>
      <c r="H26" s="10"/>
      <c r="I26" s="10"/>
      <c r="J26" s="10"/>
      <c r="K26" s="11"/>
      <c r="L26" s="9"/>
      <c r="M26" s="10"/>
      <c r="N26" s="10"/>
      <c r="O26" s="10"/>
      <c r="P26" s="10"/>
      <c r="Q26" s="10"/>
      <c r="R26" s="10"/>
      <c r="S26" s="10"/>
      <c r="T26" s="10"/>
      <c r="U26" s="11"/>
      <c r="V26" s="13">
        <f>SUM(V3:V24)</f>
        <v>1.0327956989247313</v>
      </c>
      <c r="W26" s="13">
        <f t="shared" ref="W26" si="30">SUM(W3:W24)</f>
        <v>1.0627400768245838</v>
      </c>
      <c r="X26" s="13"/>
      <c r="Y26" s="13">
        <f>SUM(Y3:Y24)</f>
        <v>1.0443064491994616</v>
      </c>
      <c r="Z26" s="14">
        <f>SUM(Z3:Z24)</f>
        <v>1</v>
      </c>
      <c r="AA26" s="13">
        <f>SUM(AA3:AA24)</f>
        <v>1</v>
      </c>
      <c r="AB26" s="15">
        <f>SUM(AB3:AB24)</f>
        <v>1</v>
      </c>
      <c r="AC26" s="9"/>
      <c r="AD26" s="10">
        <f>SUM(AD3:AD24)</f>
        <v>98.999999999999986</v>
      </c>
      <c r="AE26" s="10">
        <f t="shared" ref="AE26" si="31">SUM(AE3:AE24)</f>
        <v>68.499999999999986</v>
      </c>
      <c r="AF26" s="10">
        <f>SUM(AD26:AE26)</f>
        <v>167.49999999999997</v>
      </c>
      <c r="AG26" s="19"/>
      <c r="AH26" s="10"/>
      <c r="AI26" s="24"/>
      <c r="AJ26" s="10"/>
      <c r="AK26" s="14">
        <f>SUM(AK3:AK24)</f>
        <v>0.9341182498179883</v>
      </c>
      <c r="AL26" s="13">
        <f t="shared" ref="AL26" si="32">SUM(AL3:AL24)</f>
        <v>1.2942841940027356</v>
      </c>
      <c r="AM26" s="14">
        <f>SUM(AM3:AM24)</f>
        <v>1.0000000000000002</v>
      </c>
      <c r="AN26" s="13">
        <f>SUM(AN3:AN24)</f>
        <v>1.0000000000000002</v>
      </c>
      <c r="AO26" s="34">
        <f>SUM(AO3:AO24)</f>
        <v>99</v>
      </c>
      <c r="AP26" s="35">
        <f t="shared" ref="AP26:AQ26" si="33">SUM(AP3:AP24)</f>
        <v>68.500000000000014</v>
      </c>
      <c r="AQ26" s="36">
        <f t="shared" si="33"/>
        <v>167.49999999999997</v>
      </c>
    </row>
  </sheetData>
  <mergeCells count="10">
    <mergeCell ref="B1:K1"/>
    <mergeCell ref="L1:U1"/>
    <mergeCell ref="AC1:AF1"/>
    <mergeCell ref="V1:Y1"/>
    <mergeCell ref="Z1:AB1"/>
    <mergeCell ref="AM1:AN1"/>
    <mergeCell ref="AO1:AQ1"/>
    <mergeCell ref="AG1:AH1"/>
    <mergeCell ref="AI1:AJ1"/>
    <mergeCell ref="AK1:AL1"/>
  </mergeCells>
  <pageMargins left="0.7" right="0.7" top="0.75" bottom="0.75" header="0.3" footer="0.3"/>
  <pageSetup paperSize="9" orientation="portrait" r:id="rId1"/>
  <ignoredErrors>
    <ignoredError sqref="V23:Y23 AG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sanyam jain</dc:creator>
  <cp:lastModifiedBy>sanyam jain</cp:lastModifiedBy>
  <dcterms:created xsi:type="dcterms:W3CDTF">2026-04-18T17:53:56Z</dcterms:created>
  <dcterms:modified xsi:type="dcterms:W3CDTF">2026-04-18T20:14:14Z</dcterms:modified>
</cp:coreProperties>
</file>