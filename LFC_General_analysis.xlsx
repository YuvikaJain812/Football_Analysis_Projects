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ce1ef5655920d6e/Desktop/college YJ/"/>
    </mc:Choice>
  </mc:AlternateContent>
  <xr:revisionPtr revIDLastSave="7" documentId="8_{71F9DC89-DD7F-472F-A257-B8D109779F61}" xr6:coauthVersionLast="47" xr6:coauthVersionMax="47" xr10:uidLastSave="{C76FA3A5-A8D9-42B9-A2EB-B5C1777ED327}"/>
  <bookViews>
    <workbookView xWindow="-108" yWindow="-108" windowWidth="23256" windowHeight="12456" xr2:uid="{81998ACA-A42E-4FEA-841A-A82DD3BF8AAE}"/>
  </bookViews>
  <sheets>
    <sheet name="2018-19" sheetId="2" r:id="rId1"/>
    <sheet name="2019-20" sheetId="1" r:id="rId2"/>
    <sheet name="2023-24" sheetId="3" r:id="rId3"/>
    <sheet name="2024-25" sheetId="4" r:id="rId4"/>
    <sheet name="18-19 v 19-20" sheetId="5" r:id="rId5"/>
    <sheet name="23-24 v 24-25" sheetId="6" r:id="rId6"/>
    <sheet name="18-19 v 23-24" sheetId="7" r:id="rId7"/>
    <sheet name="19-20 v 24-25" sheetId="8" r:id="rId8"/>
  </sheets>
  <definedNames>
    <definedName name="_xlnm._FilterDatabase" localSheetId="1" hidden="1">'2019-20'!$C$1:$C$30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8" l="1"/>
  <c r="P5" i="8"/>
  <c r="P6" i="8"/>
  <c r="P7" i="8"/>
  <c r="P8" i="8"/>
  <c r="P9" i="8"/>
  <c r="P10" i="8"/>
  <c r="P11" i="8"/>
  <c r="P12" i="8"/>
  <c r="P13" i="8"/>
  <c r="P14" i="8"/>
  <c r="O9" i="8"/>
  <c r="O8" i="8"/>
  <c r="O7" i="8"/>
  <c r="H12" i="8"/>
  <c r="H13" i="8"/>
  <c r="G13" i="8"/>
  <c r="G12" i="8"/>
  <c r="H11" i="8"/>
  <c r="G11" i="8"/>
  <c r="F11" i="8"/>
  <c r="H10" i="8"/>
  <c r="G10" i="8"/>
  <c r="H9" i="8"/>
  <c r="G9" i="8"/>
  <c r="O14" i="8"/>
  <c r="N14" i="8"/>
  <c r="O6" i="8"/>
  <c r="N7" i="8"/>
  <c r="N6" i="8"/>
  <c r="G8" i="8"/>
  <c r="F13" i="8"/>
  <c r="F12" i="8"/>
  <c r="F10" i="8"/>
  <c r="F9" i="8"/>
  <c r="O13" i="8"/>
  <c r="N13" i="8"/>
  <c r="O12" i="8"/>
  <c r="N12" i="8"/>
  <c r="O11" i="8"/>
  <c r="N11" i="8"/>
  <c r="O10" i="8"/>
  <c r="N10" i="8"/>
  <c r="N9" i="8"/>
  <c r="N8" i="8"/>
  <c r="H8" i="8"/>
  <c r="F8" i="8"/>
  <c r="H7" i="8"/>
  <c r="G7" i="8"/>
  <c r="F7" i="8"/>
  <c r="H6" i="8"/>
  <c r="G6" i="8"/>
  <c r="F6" i="8"/>
  <c r="O5" i="8"/>
  <c r="N5" i="8"/>
  <c r="H5" i="8"/>
  <c r="G5" i="8"/>
  <c r="F5" i="8"/>
  <c r="O4" i="8"/>
  <c r="N4" i="8"/>
  <c r="H4" i="8"/>
  <c r="G4" i="8"/>
  <c r="F4" i="8"/>
  <c r="P6" i="7"/>
  <c r="P7" i="7"/>
  <c r="P8" i="7"/>
  <c r="P9" i="7"/>
  <c r="P10" i="7"/>
  <c r="P11" i="7"/>
  <c r="P12" i="7"/>
  <c r="P13" i="7"/>
  <c r="P14" i="7"/>
  <c r="P15" i="7"/>
  <c r="O15" i="7"/>
  <c r="O14" i="7"/>
  <c r="O13" i="7"/>
  <c r="O12" i="7"/>
  <c r="O11" i="7"/>
  <c r="O10" i="7"/>
  <c r="O9" i="7"/>
  <c r="O8" i="7"/>
  <c r="O7" i="7"/>
  <c r="O6" i="7"/>
  <c r="P5" i="7"/>
  <c r="O5" i="7"/>
  <c r="P4" i="7"/>
  <c r="O4" i="7"/>
  <c r="N5" i="7"/>
  <c r="N6" i="7"/>
  <c r="N7" i="7"/>
  <c r="N8" i="7"/>
  <c r="N9" i="7"/>
  <c r="N10" i="7"/>
  <c r="N11" i="7"/>
  <c r="N12" i="7"/>
  <c r="N13" i="7"/>
  <c r="N14" i="7"/>
  <c r="N15" i="7"/>
  <c r="N4" i="7"/>
  <c r="H14" i="7"/>
  <c r="G14" i="7"/>
  <c r="H13" i="7"/>
  <c r="G13" i="7"/>
  <c r="H12" i="7"/>
  <c r="G12" i="7"/>
  <c r="H11" i="7"/>
  <c r="G11" i="7"/>
  <c r="H10" i="7"/>
  <c r="G10" i="7"/>
  <c r="H9" i="7"/>
  <c r="G9" i="7"/>
  <c r="H8" i="7"/>
  <c r="G8" i="7"/>
  <c r="H7" i="7"/>
  <c r="G7" i="7"/>
  <c r="H6" i="7"/>
  <c r="G6" i="7"/>
  <c r="H5" i="7"/>
  <c r="G5" i="7"/>
  <c r="G4" i="7"/>
  <c r="H4" i="7"/>
  <c r="F4" i="7"/>
  <c r="F5" i="7"/>
  <c r="F6" i="7"/>
  <c r="F7" i="7"/>
  <c r="F8" i="7"/>
  <c r="F9" i="7"/>
  <c r="F10" i="7"/>
  <c r="F11" i="7"/>
  <c r="F12" i="7"/>
  <c r="F13" i="7"/>
  <c r="F14" i="7"/>
  <c r="D22" i="6"/>
  <c r="D23" i="6"/>
  <c r="D24" i="6"/>
  <c r="C24" i="6"/>
  <c r="C23" i="6"/>
  <c r="C22" i="6"/>
  <c r="D20" i="6"/>
  <c r="C20" i="6"/>
  <c r="D19" i="6"/>
  <c r="C19" i="6"/>
  <c r="D18" i="6"/>
  <c r="C18" i="6"/>
  <c r="G32" i="4"/>
  <c r="F32" i="4"/>
  <c r="G23" i="4"/>
  <c r="F23" i="4"/>
  <c r="G15" i="4"/>
  <c r="F15" i="4"/>
  <c r="G32" i="3"/>
  <c r="F32" i="3"/>
  <c r="G24" i="3"/>
  <c r="F24" i="3"/>
  <c r="G16" i="3"/>
  <c r="H16" i="3"/>
  <c r="F16" i="3"/>
  <c r="A31" i="4"/>
  <c r="E31" i="4"/>
  <c r="A31" i="3"/>
  <c r="E31" i="3"/>
  <c r="S31" i="3"/>
  <c r="S31" i="4"/>
  <c r="E16" i="6"/>
  <c r="E15" i="6"/>
  <c r="E14" i="6"/>
  <c r="E12" i="6"/>
  <c r="E11" i="6"/>
  <c r="E10" i="6"/>
  <c r="E8" i="6"/>
  <c r="E7" i="6"/>
  <c r="E6" i="6"/>
  <c r="E5" i="6"/>
  <c r="E4" i="6"/>
  <c r="E3" i="6"/>
  <c r="E2" i="6"/>
  <c r="D24" i="5"/>
  <c r="C24" i="5"/>
  <c r="E24" i="5" s="1"/>
  <c r="D23" i="5"/>
  <c r="C23" i="5"/>
  <c r="E23" i="5" s="1"/>
  <c r="D22" i="5"/>
  <c r="E22" i="5" s="1"/>
  <c r="C22" i="5"/>
  <c r="D20" i="5"/>
  <c r="C20" i="5"/>
  <c r="E20" i="5" s="1"/>
  <c r="D19" i="5"/>
  <c r="C19" i="5"/>
  <c r="E18" i="5"/>
  <c r="D18" i="5"/>
  <c r="C18" i="5"/>
  <c r="E14" i="5"/>
  <c r="E15" i="5"/>
  <c r="E16" i="5"/>
  <c r="E10" i="5"/>
  <c r="G30" i="2"/>
  <c r="F30" i="2"/>
  <c r="F29" i="2"/>
  <c r="G29" i="2"/>
  <c r="F22" i="2"/>
  <c r="G22" i="2"/>
  <c r="F12" i="2"/>
  <c r="G12" i="2"/>
  <c r="F31" i="1"/>
  <c r="G31" i="1"/>
  <c r="G32" i="1"/>
  <c r="H32" i="1"/>
  <c r="F32" i="1"/>
  <c r="F14" i="1"/>
  <c r="F25" i="1"/>
  <c r="G25" i="1"/>
  <c r="G14" i="1"/>
  <c r="E3" i="5"/>
  <c r="E4" i="5"/>
  <c r="E5" i="5"/>
  <c r="E6" i="5"/>
  <c r="E7" i="5"/>
  <c r="E8" i="5"/>
  <c r="E11" i="5"/>
  <c r="E12" i="5"/>
  <c r="E2" i="5"/>
  <c r="A29" i="2"/>
  <c r="A31" i="1"/>
  <c r="E31" i="1"/>
  <c r="E29" i="2"/>
  <c r="L31" i="1"/>
  <c r="M31" i="1"/>
  <c r="Q31" i="4"/>
  <c r="P31" i="4"/>
  <c r="Q23" i="4"/>
  <c r="P23" i="4"/>
  <c r="Q15" i="4"/>
  <c r="P15" i="4"/>
  <c r="P26" i="3"/>
  <c r="P31" i="3" s="1"/>
  <c r="Q26" i="3"/>
  <c r="R26" i="3"/>
  <c r="S26" i="3"/>
  <c r="P27" i="3"/>
  <c r="Q27" i="3"/>
  <c r="R27" i="3"/>
  <c r="S27" i="3"/>
  <c r="P28" i="3"/>
  <c r="Q28" i="3"/>
  <c r="R28" i="3"/>
  <c r="S28" i="3"/>
  <c r="P29" i="3"/>
  <c r="Q29" i="3"/>
  <c r="R29" i="3"/>
  <c r="S29" i="3"/>
  <c r="P30" i="3"/>
  <c r="Q30" i="3"/>
  <c r="R30" i="3"/>
  <c r="S30" i="3"/>
  <c r="Q31" i="3"/>
  <c r="Q24" i="3"/>
  <c r="P24" i="3"/>
  <c r="Q16" i="3"/>
  <c r="P16" i="3"/>
  <c r="O6" i="2"/>
  <c r="O7" i="2"/>
  <c r="O8" i="2"/>
  <c r="O9" i="2"/>
  <c r="O10" i="2"/>
  <c r="O11" i="2"/>
  <c r="O14" i="2"/>
  <c r="O15" i="2"/>
  <c r="O16" i="2"/>
  <c r="O17" i="2"/>
  <c r="O18" i="2"/>
  <c r="O19" i="2"/>
  <c r="O20" i="2"/>
  <c r="O21" i="2"/>
  <c r="O24" i="2"/>
  <c r="O25" i="2"/>
  <c r="O26" i="2"/>
  <c r="O27" i="2"/>
  <c r="O28" i="2"/>
  <c r="O3" i="2"/>
  <c r="T7" i="4"/>
  <c r="T9" i="4"/>
  <c r="T10" i="4"/>
  <c r="T11" i="4"/>
  <c r="T12" i="4"/>
  <c r="T14" i="4"/>
  <c r="T17" i="4"/>
  <c r="T19" i="4"/>
  <c r="T20" i="4"/>
  <c r="T21" i="4"/>
  <c r="T22" i="4"/>
  <c r="T25" i="4"/>
  <c r="T27" i="4"/>
  <c r="T28" i="4"/>
  <c r="T29" i="4"/>
  <c r="T30" i="4"/>
  <c r="S4" i="4"/>
  <c r="S7" i="4"/>
  <c r="S8" i="4"/>
  <c r="S9" i="4"/>
  <c r="S10" i="4"/>
  <c r="S11" i="4"/>
  <c r="S12" i="4"/>
  <c r="S13" i="4"/>
  <c r="S14" i="4"/>
  <c r="S17" i="4"/>
  <c r="S18" i="4"/>
  <c r="S19" i="4"/>
  <c r="S20" i="4"/>
  <c r="S21" i="4"/>
  <c r="S22" i="4"/>
  <c r="S25" i="4"/>
  <c r="S26" i="4"/>
  <c r="S27" i="4"/>
  <c r="S28" i="4"/>
  <c r="S29" i="4"/>
  <c r="S30" i="4"/>
  <c r="S3" i="4"/>
  <c r="R8" i="4"/>
  <c r="R9" i="4"/>
  <c r="R10" i="4"/>
  <c r="R11" i="4"/>
  <c r="R12" i="4"/>
  <c r="R13" i="4"/>
  <c r="R14" i="4"/>
  <c r="R17" i="4"/>
  <c r="R18" i="4"/>
  <c r="R19" i="4"/>
  <c r="R20" i="4"/>
  <c r="R21" i="4"/>
  <c r="R22" i="4"/>
  <c r="R25" i="4"/>
  <c r="R26" i="4"/>
  <c r="R27" i="4"/>
  <c r="R28" i="4"/>
  <c r="R29" i="4"/>
  <c r="R30" i="4"/>
  <c r="R7" i="4"/>
  <c r="R4" i="4"/>
  <c r="R3" i="4"/>
  <c r="Q26" i="4"/>
  <c r="Q27" i="4"/>
  <c r="Q28" i="4"/>
  <c r="Q29" i="4"/>
  <c r="Q30" i="4"/>
  <c r="Q25" i="4"/>
  <c r="Q18" i="4"/>
  <c r="Q19" i="4"/>
  <c r="Q20" i="4"/>
  <c r="Q21" i="4"/>
  <c r="Q22" i="4"/>
  <c r="Q17" i="4"/>
  <c r="Q8" i="4"/>
  <c r="Q9" i="4"/>
  <c r="Q10" i="4"/>
  <c r="Q11" i="4"/>
  <c r="Q12" i="4"/>
  <c r="Q13" i="4"/>
  <c r="Q14" i="4"/>
  <c r="Q7" i="4"/>
  <c r="Q4" i="4"/>
  <c r="Q3" i="4"/>
  <c r="P4" i="4"/>
  <c r="P7" i="4"/>
  <c r="P8" i="4"/>
  <c r="P9" i="4"/>
  <c r="P10" i="4"/>
  <c r="P11" i="4"/>
  <c r="P12" i="4"/>
  <c r="P13" i="4"/>
  <c r="P14" i="4"/>
  <c r="P17" i="4"/>
  <c r="P18" i="4"/>
  <c r="P19" i="4"/>
  <c r="P20" i="4"/>
  <c r="P21" i="4"/>
  <c r="P22" i="4"/>
  <c r="P25" i="4"/>
  <c r="P26" i="4"/>
  <c r="P27" i="4"/>
  <c r="P28" i="4"/>
  <c r="P29" i="4"/>
  <c r="P30" i="4"/>
  <c r="P3" i="4"/>
  <c r="O4" i="4"/>
  <c r="O7" i="4"/>
  <c r="O8" i="4"/>
  <c r="O9" i="4"/>
  <c r="O10" i="4"/>
  <c r="O11" i="4"/>
  <c r="O12" i="4"/>
  <c r="O13" i="4"/>
  <c r="O14" i="4"/>
  <c r="O17" i="4"/>
  <c r="O18" i="4"/>
  <c r="O19" i="4"/>
  <c r="O20" i="4"/>
  <c r="O21" i="4"/>
  <c r="O22" i="4"/>
  <c r="O25" i="4"/>
  <c r="O26" i="4"/>
  <c r="O27" i="4"/>
  <c r="O28" i="4"/>
  <c r="O29" i="4"/>
  <c r="O30" i="4"/>
  <c r="O3" i="4"/>
  <c r="T7" i="3"/>
  <c r="T8" i="3"/>
  <c r="T9" i="3"/>
  <c r="T12" i="3"/>
  <c r="T13" i="3"/>
  <c r="T14" i="3"/>
  <c r="T15" i="3"/>
  <c r="T18" i="3"/>
  <c r="T19" i="3"/>
  <c r="T20" i="3"/>
  <c r="T21" i="3"/>
  <c r="T22" i="3"/>
  <c r="T23" i="3"/>
  <c r="T26" i="3"/>
  <c r="T27" i="3"/>
  <c r="T28" i="3"/>
  <c r="T29" i="3"/>
  <c r="T30" i="3"/>
  <c r="S4" i="3"/>
  <c r="S7" i="3"/>
  <c r="S8" i="3"/>
  <c r="S9" i="3"/>
  <c r="S10" i="3"/>
  <c r="S11" i="3"/>
  <c r="S12" i="3"/>
  <c r="S13" i="3"/>
  <c r="S14" i="3"/>
  <c r="S15" i="3"/>
  <c r="S18" i="3"/>
  <c r="S19" i="3"/>
  <c r="S20" i="3"/>
  <c r="S21" i="3"/>
  <c r="S22" i="3"/>
  <c r="S23" i="3"/>
  <c r="S3" i="3"/>
  <c r="R4" i="3"/>
  <c r="R7" i="3"/>
  <c r="R8" i="3"/>
  <c r="R9" i="3"/>
  <c r="R10" i="3"/>
  <c r="R11" i="3"/>
  <c r="R12" i="3"/>
  <c r="R13" i="3"/>
  <c r="R14" i="3"/>
  <c r="R15" i="3"/>
  <c r="R18" i="3"/>
  <c r="R19" i="3"/>
  <c r="R20" i="3"/>
  <c r="R21" i="3"/>
  <c r="R22" i="3"/>
  <c r="R23" i="3"/>
  <c r="R3" i="3"/>
  <c r="Q4" i="3"/>
  <c r="Q7" i="3"/>
  <c r="Q8" i="3"/>
  <c r="Q9" i="3"/>
  <c r="Q10" i="3"/>
  <c r="Q11" i="3"/>
  <c r="Q12" i="3"/>
  <c r="Q13" i="3"/>
  <c r="Q14" i="3"/>
  <c r="Q15" i="3"/>
  <c r="Q18" i="3"/>
  <c r="Q19" i="3"/>
  <c r="Q20" i="3"/>
  <c r="Q21" i="3"/>
  <c r="Q22" i="3"/>
  <c r="Q23" i="3"/>
  <c r="Q3" i="3"/>
  <c r="P4" i="3"/>
  <c r="P7" i="3"/>
  <c r="P8" i="3"/>
  <c r="P9" i="3"/>
  <c r="P10" i="3"/>
  <c r="P11" i="3"/>
  <c r="P12" i="3"/>
  <c r="P13" i="3"/>
  <c r="P14" i="3"/>
  <c r="P15" i="3"/>
  <c r="P18" i="3"/>
  <c r="P19" i="3"/>
  <c r="P20" i="3"/>
  <c r="P21" i="3"/>
  <c r="P22" i="3"/>
  <c r="P23" i="3"/>
  <c r="P3" i="3"/>
  <c r="O4" i="3"/>
  <c r="O7" i="3"/>
  <c r="O8" i="3"/>
  <c r="O9" i="3"/>
  <c r="O10" i="3"/>
  <c r="O11" i="3"/>
  <c r="O12" i="3"/>
  <c r="O13" i="3"/>
  <c r="O14" i="3"/>
  <c r="O15" i="3"/>
  <c r="O18" i="3"/>
  <c r="O19" i="3"/>
  <c r="O20" i="3"/>
  <c r="O21" i="3"/>
  <c r="O22" i="3"/>
  <c r="O23" i="3"/>
  <c r="O26" i="3"/>
  <c r="O27" i="3"/>
  <c r="O28" i="3"/>
  <c r="O29" i="3"/>
  <c r="O30" i="3"/>
  <c r="O3" i="3"/>
  <c r="Q6" i="2"/>
  <c r="Q7" i="2"/>
  <c r="Q8" i="2"/>
  <c r="Q9" i="2"/>
  <c r="Q10" i="2"/>
  <c r="Q11" i="2"/>
  <c r="Q14" i="2"/>
  <c r="Q15" i="2"/>
  <c r="Q16" i="2"/>
  <c r="Q17" i="2"/>
  <c r="Q18" i="2"/>
  <c r="Q19" i="2"/>
  <c r="Q20" i="2"/>
  <c r="Q21" i="2"/>
  <c r="Q24" i="2"/>
  <c r="Q25" i="2"/>
  <c r="Q29" i="2" s="1"/>
  <c r="Q26" i="2"/>
  <c r="Q27" i="2"/>
  <c r="Q28" i="2"/>
  <c r="Q3" i="2"/>
  <c r="P6" i="2"/>
  <c r="P7" i="2"/>
  <c r="P8" i="2"/>
  <c r="P9" i="2"/>
  <c r="P10" i="2"/>
  <c r="P11" i="2"/>
  <c r="P14" i="2"/>
  <c r="P15" i="2"/>
  <c r="P16" i="2"/>
  <c r="P17" i="2"/>
  <c r="P18" i="2"/>
  <c r="P19" i="2"/>
  <c r="P20" i="2"/>
  <c r="P21" i="2"/>
  <c r="P24" i="2"/>
  <c r="P29" i="2" s="1"/>
  <c r="P25" i="2"/>
  <c r="P26" i="2"/>
  <c r="P27" i="2"/>
  <c r="P28" i="2"/>
  <c r="P3" i="2"/>
  <c r="H29" i="4"/>
  <c r="H31" i="4" s="1"/>
  <c r="H30" i="4"/>
  <c r="G31" i="4"/>
  <c r="I31" i="4"/>
  <c r="J31" i="4"/>
  <c r="K31" i="4"/>
  <c r="L31" i="4"/>
  <c r="M31" i="4"/>
  <c r="F31" i="4"/>
  <c r="I14" i="4"/>
  <c r="H14" i="4"/>
  <c r="I30" i="4"/>
  <c r="I29" i="4"/>
  <c r="I28" i="4"/>
  <c r="H31" i="3"/>
  <c r="L31" i="3"/>
  <c r="M31" i="3"/>
  <c r="G31" i="3"/>
  <c r="F31" i="3"/>
  <c r="I4" i="3"/>
  <c r="I7" i="3"/>
  <c r="I8" i="3"/>
  <c r="I9" i="3"/>
  <c r="I10" i="3"/>
  <c r="I11" i="3"/>
  <c r="I12" i="3"/>
  <c r="I13" i="3"/>
  <c r="I14" i="3"/>
  <c r="I15" i="3"/>
  <c r="I18" i="3"/>
  <c r="I19" i="3"/>
  <c r="I20" i="3"/>
  <c r="I21" i="3"/>
  <c r="I22" i="3"/>
  <c r="I23" i="3"/>
  <c r="I26" i="3"/>
  <c r="I27" i="3"/>
  <c r="I28" i="3"/>
  <c r="I29" i="3"/>
  <c r="I30" i="3"/>
  <c r="I3" i="3"/>
  <c r="H15" i="3"/>
  <c r="H13" i="3"/>
  <c r="H23" i="3"/>
  <c r="H14" i="3"/>
  <c r="H12" i="3"/>
  <c r="H11" i="3"/>
  <c r="H10" i="3"/>
  <c r="H4" i="3"/>
  <c r="H7" i="3"/>
  <c r="H8" i="3"/>
  <c r="H9" i="3"/>
  <c r="H18" i="3"/>
  <c r="H19" i="3"/>
  <c r="H20" i="3"/>
  <c r="H21" i="3"/>
  <c r="H22" i="3"/>
  <c r="H26" i="3"/>
  <c r="H27" i="3"/>
  <c r="H28" i="3"/>
  <c r="H29" i="3"/>
  <c r="H30" i="3"/>
  <c r="H3" i="3"/>
  <c r="M29" i="2"/>
  <c r="L29" i="2"/>
  <c r="I28" i="2"/>
  <c r="R28" i="2" s="1"/>
  <c r="H28" i="2"/>
  <c r="T28" i="2" s="1"/>
  <c r="H28" i="4"/>
  <c r="I27" i="4"/>
  <c r="H27" i="4"/>
  <c r="I26" i="4"/>
  <c r="I25" i="4"/>
  <c r="H25" i="4"/>
  <c r="I22" i="4"/>
  <c r="H22" i="4"/>
  <c r="I21" i="4"/>
  <c r="H21" i="4"/>
  <c r="I20" i="4"/>
  <c r="H20" i="4"/>
  <c r="I19" i="4"/>
  <c r="H19" i="4"/>
  <c r="I18" i="4"/>
  <c r="H18" i="4"/>
  <c r="I17" i="4"/>
  <c r="H17" i="4"/>
  <c r="I13" i="4"/>
  <c r="H13" i="4"/>
  <c r="I12" i="4"/>
  <c r="H12" i="4"/>
  <c r="I11" i="4"/>
  <c r="H11" i="4"/>
  <c r="I10" i="4"/>
  <c r="H10" i="4"/>
  <c r="I9" i="4"/>
  <c r="H9" i="4"/>
  <c r="I8" i="4"/>
  <c r="H8" i="4"/>
  <c r="I7" i="4"/>
  <c r="H7" i="4"/>
  <c r="I4" i="4"/>
  <c r="H4" i="4"/>
  <c r="I3" i="4"/>
  <c r="H3" i="4"/>
  <c r="I27" i="2"/>
  <c r="R27" i="2" s="1"/>
  <c r="H27" i="2"/>
  <c r="T27" i="2" s="1"/>
  <c r="I26" i="2"/>
  <c r="R26" i="2" s="1"/>
  <c r="H26" i="2"/>
  <c r="S26" i="2" s="1"/>
  <c r="I25" i="2"/>
  <c r="R25" i="2" s="1"/>
  <c r="H25" i="2"/>
  <c r="T25" i="2" s="1"/>
  <c r="I24" i="2"/>
  <c r="R24" i="2" s="1"/>
  <c r="H24" i="2"/>
  <c r="S24" i="2" s="1"/>
  <c r="I21" i="2"/>
  <c r="R21" i="2" s="1"/>
  <c r="H21" i="2"/>
  <c r="S21" i="2" s="1"/>
  <c r="I20" i="2"/>
  <c r="R20" i="2" s="1"/>
  <c r="H20" i="2"/>
  <c r="S20" i="2" s="1"/>
  <c r="I19" i="2"/>
  <c r="R19" i="2" s="1"/>
  <c r="H19" i="2"/>
  <c r="S19" i="2" s="1"/>
  <c r="I18" i="2"/>
  <c r="R18" i="2" s="1"/>
  <c r="H18" i="2"/>
  <c r="S18" i="2" s="1"/>
  <c r="I17" i="2"/>
  <c r="R17" i="2" s="1"/>
  <c r="H17" i="2"/>
  <c r="T17" i="2" s="1"/>
  <c r="I16" i="2"/>
  <c r="R16" i="2" s="1"/>
  <c r="H16" i="2"/>
  <c r="S16" i="2" s="1"/>
  <c r="I15" i="2"/>
  <c r="R15" i="2" s="1"/>
  <c r="H15" i="2"/>
  <c r="T15" i="2" s="1"/>
  <c r="I14" i="2"/>
  <c r="R14" i="2" s="1"/>
  <c r="H14" i="2"/>
  <c r="S14" i="2" s="1"/>
  <c r="I11" i="2"/>
  <c r="R11" i="2" s="1"/>
  <c r="H11" i="2"/>
  <c r="S11" i="2" s="1"/>
  <c r="I10" i="2"/>
  <c r="R10" i="2" s="1"/>
  <c r="H10" i="2"/>
  <c r="S10" i="2" s="1"/>
  <c r="I9" i="2"/>
  <c r="R9" i="2" s="1"/>
  <c r="H9" i="2"/>
  <c r="S9" i="2" s="1"/>
  <c r="I8" i="2"/>
  <c r="R8" i="2" s="1"/>
  <c r="H8" i="2"/>
  <c r="S8" i="2" s="1"/>
  <c r="I7" i="2"/>
  <c r="R7" i="2" s="1"/>
  <c r="H7" i="2"/>
  <c r="S7" i="2" s="1"/>
  <c r="I6" i="2"/>
  <c r="R6" i="2" s="1"/>
  <c r="H6" i="2"/>
  <c r="T6" i="2" s="1"/>
  <c r="I3" i="2"/>
  <c r="R3" i="2" s="1"/>
  <c r="H3" i="2"/>
  <c r="S3" i="2" s="1"/>
  <c r="Q31" i="1"/>
  <c r="Q25" i="1"/>
  <c r="Q14" i="1"/>
  <c r="T27" i="1"/>
  <c r="T3" i="1"/>
  <c r="S4" i="1"/>
  <c r="S3" i="1"/>
  <c r="R4" i="1"/>
  <c r="R7" i="1"/>
  <c r="R3" i="1"/>
  <c r="Q27" i="1"/>
  <c r="Q3" i="1"/>
  <c r="Q4" i="1"/>
  <c r="Q7" i="1"/>
  <c r="Q8" i="1"/>
  <c r="Q9" i="1"/>
  <c r="Q10" i="1"/>
  <c r="Q11" i="1"/>
  <c r="Q12" i="1"/>
  <c r="Q13" i="1"/>
  <c r="Q16" i="1"/>
  <c r="Q17" i="1"/>
  <c r="Q18" i="1"/>
  <c r="Q19" i="1"/>
  <c r="Q20" i="1"/>
  <c r="Q21" i="1"/>
  <c r="Q22" i="1"/>
  <c r="Q23" i="1"/>
  <c r="Q24" i="1"/>
  <c r="Q28" i="1"/>
  <c r="Q29" i="1"/>
  <c r="Q30" i="1"/>
  <c r="P4" i="1"/>
  <c r="P7" i="1"/>
  <c r="P8" i="1"/>
  <c r="P9" i="1"/>
  <c r="P10" i="1"/>
  <c r="P11" i="1"/>
  <c r="P12" i="1"/>
  <c r="P13" i="1"/>
  <c r="P16" i="1"/>
  <c r="P17" i="1"/>
  <c r="P18" i="1"/>
  <c r="P19" i="1"/>
  <c r="P20" i="1"/>
  <c r="P21" i="1"/>
  <c r="P22" i="1"/>
  <c r="P23" i="1"/>
  <c r="P24" i="1"/>
  <c r="P27" i="1"/>
  <c r="P28" i="1"/>
  <c r="P29" i="1"/>
  <c r="P30" i="1"/>
  <c r="P3" i="1"/>
  <c r="O4" i="1"/>
  <c r="O7" i="1"/>
  <c r="O8" i="1"/>
  <c r="O9" i="1"/>
  <c r="O10" i="1"/>
  <c r="O11" i="1"/>
  <c r="O12" i="1"/>
  <c r="O13" i="1"/>
  <c r="O16" i="1"/>
  <c r="O17" i="1"/>
  <c r="O18" i="1"/>
  <c r="O19" i="1"/>
  <c r="O20" i="1"/>
  <c r="O21" i="1"/>
  <c r="O22" i="1"/>
  <c r="O23" i="1"/>
  <c r="O24" i="1"/>
  <c r="O27" i="1"/>
  <c r="O28" i="1"/>
  <c r="O29" i="1"/>
  <c r="O30" i="1"/>
  <c r="O3" i="1"/>
  <c r="I27" i="1"/>
  <c r="I31" i="1" s="1"/>
  <c r="I28" i="1"/>
  <c r="R28" i="1" s="1"/>
  <c r="I29" i="1"/>
  <c r="R29" i="1" s="1"/>
  <c r="I30" i="1"/>
  <c r="R30" i="1" s="1"/>
  <c r="H27" i="1"/>
  <c r="H28" i="1"/>
  <c r="T28" i="1" s="1"/>
  <c r="H29" i="1"/>
  <c r="S29" i="1" s="1"/>
  <c r="H30" i="1"/>
  <c r="S30" i="1" s="1"/>
  <c r="I24" i="1"/>
  <c r="R24" i="1" s="1"/>
  <c r="H24" i="1"/>
  <c r="T24" i="1" s="1"/>
  <c r="I3" i="1"/>
  <c r="I4" i="1"/>
  <c r="I7" i="1"/>
  <c r="I8" i="1"/>
  <c r="R8" i="1" s="1"/>
  <c r="I9" i="1"/>
  <c r="R9" i="1" s="1"/>
  <c r="I10" i="1"/>
  <c r="R10" i="1" s="1"/>
  <c r="I11" i="1"/>
  <c r="R11" i="1" s="1"/>
  <c r="I12" i="1"/>
  <c r="R12" i="1" s="1"/>
  <c r="I13" i="1"/>
  <c r="R13" i="1" s="1"/>
  <c r="I16" i="1"/>
  <c r="R16" i="1" s="1"/>
  <c r="I17" i="1"/>
  <c r="R17" i="1" s="1"/>
  <c r="I18" i="1"/>
  <c r="R18" i="1" s="1"/>
  <c r="I19" i="1"/>
  <c r="R19" i="1" s="1"/>
  <c r="I20" i="1"/>
  <c r="R20" i="1" s="1"/>
  <c r="I21" i="1"/>
  <c r="R21" i="1" s="1"/>
  <c r="I22" i="1"/>
  <c r="R22" i="1" s="1"/>
  <c r="I23" i="1"/>
  <c r="R23" i="1" s="1"/>
  <c r="H16" i="1"/>
  <c r="T16" i="1" s="1"/>
  <c r="H17" i="1"/>
  <c r="T17" i="1" s="1"/>
  <c r="H18" i="1"/>
  <c r="S18" i="1" s="1"/>
  <c r="H19" i="1"/>
  <c r="S19" i="1" s="1"/>
  <c r="H20" i="1"/>
  <c r="S20" i="1" s="1"/>
  <c r="H21" i="1"/>
  <c r="T21" i="1" s="1"/>
  <c r="H22" i="1"/>
  <c r="T22" i="1" s="1"/>
  <c r="H23" i="1"/>
  <c r="S23" i="1" s="1"/>
  <c r="H13" i="1"/>
  <c r="S13" i="1" s="1"/>
  <c r="H12" i="1"/>
  <c r="S12" i="1" s="1"/>
  <c r="H3" i="1"/>
  <c r="H4" i="1"/>
  <c r="H8" i="1"/>
  <c r="S8" i="1" s="1"/>
  <c r="H9" i="1"/>
  <c r="S9" i="1" s="1"/>
  <c r="H10" i="1"/>
  <c r="T10" i="1" s="1"/>
  <c r="H11" i="1"/>
  <c r="T11" i="1" s="1"/>
  <c r="H7" i="1"/>
  <c r="P12" i="2" l="1"/>
  <c r="R29" i="2"/>
  <c r="Q12" i="2"/>
  <c r="R12" i="2"/>
  <c r="P22" i="2"/>
  <c r="Q22" i="2"/>
  <c r="R22" i="2"/>
  <c r="H22" i="2"/>
  <c r="H29" i="2"/>
  <c r="H30" i="2"/>
  <c r="H12" i="2"/>
  <c r="E24" i="6"/>
  <c r="E22" i="6"/>
  <c r="E23" i="6"/>
  <c r="E20" i="6"/>
  <c r="E19" i="6"/>
  <c r="E18" i="6"/>
  <c r="E19" i="5"/>
  <c r="P31" i="1"/>
  <c r="P25" i="1"/>
  <c r="T23" i="1"/>
  <c r="P14" i="1"/>
  <c r="S28" i="1"/>
  <c r="T20" i="1"/>
  <c r="H31" i="1"/>
  <c r="S21" i="1"/>
  <c r="T18" i="1"/>
  <c r="H14" i="1"/>
  <c r="S14" i="1" s="1"/>
  <c r="R27" i="1"/>
  <c r="T12" i="1"/>
  <c r="S11" i="1"/>
  <c r="T9" i="1"/>
  <c r="T30" i="1"/>
  <c r="S27" i="1"/>
  <c r="S17" i="1"/>
  <c r="S7" i="1"/>
  <c r="T19" i="1"/>
  <c r="T7" i="1"/>
  <c r="S24" i="1"/>
  <c r="T29" i="1"/>
  <c r="H25" i="1"/>
  <c r="S25" i="1" s="1"/>
  <c r="S16" i="1"/>
  <c r="S22" i="1"/>
  <c r="S10" i="1"/>
  <c r="T24" i="2"/>
  <c r="S28" i="2"/>
  <c r="T20" i="2"/>
  <c r="S25" i="2"/>
  <c r="S15" i="2"/>
  <c r="S27" i="2"/>
  <c r="S17" i="2"/>
  <c r="T26" i="2"/>
  <c r="T14" i="2"/>
  <c r="S6" i="2"/>
  <c r="S12" i="2" s="1"/>
  <c r="T11" i="2"/>
  <c r="T10" i="2"/>
  <c r="T21" i="2"/>
  <c r="T9" i="2"/>
  <c r="T8" i="2"/>
  <c r="T19" i="2"/>
  <c r="S22" i="2" l="1"/>
  <c r="S29" i="2"/>
  <c r="S30" i="2" s="1"/>
  <c r="S31" i="1"/>
</calcChain>
</file>

<file path=xl/sharedStrings.xml><?xml version="1.0" encoding="utf-8"?>
<sst xmlns="http://schemas.openxmlformats.org/spreadsheetml/2006/main" count="470" uniqueCount="132">
  <si>
    <t>Goalkeepers</t>
  </si>
  <si>
    <t>Alisson</t>
  </si>
  <si>
    <t>Adrian</t>
  </si>
  <si>
    <t>MP</t>
  </si>
  <si>
    <t>Starts</t>
  </si>
  <si>
    <t>Minutes</t>
  </si>
  <si>
    <t>G</t>
  </si>
  <si>
    <t>A</t>
  </si>
  <si>
    <t>G+A</t>
  </si>
  <si>
    <t>G-PK</t>
  </si>
  <si>
    <t>PKAtt.</t>
  </si>
  <si>
    <t>Crd (Y)</t>
  </si>
  <si>
    <t>Crd (R)</t>
  </si>
  <si>
    <t>Position</t>
  </si>
  <si>
    <t>Defenders</t>
  </si>
  <si>
    <t>Virgil Van Dijk</t>
  </si>
  <si>
    <t>Joe Gomez</t>
  </si>
  <si>
    <t>Trent Alexander-Arnold</t>
  </si>
  <si>
    <t>Joel Matip</t>
  </si>
  <si>
    <t>Andrew Robertson</t>
  </si>
  <si>
    <t>DF</t>
  </si>
  <si>
    <t>GK</t>
  </si>
  <si>
    <t>Dejan Lovren</t>
  </si>
  <si>
    <t>Neco Williams</t>
  </si>
  <si>
    <t>Midfielders</t>
  </si>
  <si>
    <t>Georginio Wijnaldum</t>
  </si>
  <si>
    <t>MF</t>
  </si>
  <si>
    <t>Xherdan Shaqiri</t>
  </si>
  <si>
    <t>FW, MF</t>
  </si>
  <si>
    <t>Alex Oxlade-Chamberlain</t>
  </si>
  <si>
    <t>MF, FW</t>
  </si>
  <si>
    <t>James Milner</t>
  </si>
  <si>
    <t>MF, DF</t>
  </si>
  <si>
    <t>PK</t>
  </si>
  <si>
    <t>Adam Lallana</t>
  </si>
  <si>
    <t>Naby Keita</t>
  </si>
  <si>
    <t>Curtis Jones</t>
  </si>
  <si>
    <t>Jordan Henderson</t>
  </si>
  <si>
    <t>Fabinho</t>
  </si>
  <si>
    <t>Forwards</t>
  </si>
  <si>
    <t>Mohamed Salah</t>
  </si>
  <si>
    <t>FW</t>
  </si>
  <si>
    <t>Divock Origi</t>
  </si>
  <si>
    <t>Sadio Mane</t>
  </si>
  <si>
    <t>Roberto Firmino</t>
  </si>
  <si>
    <t>90's Played</t>
  </si>
  <si>
    <t>Per 90 Analysis</t>
  </si>
  <si>
    <t>Key analysis</t>
  </si>
  <si>
    <t>1. In Klopp's system, fullbacks did more heavylifting in attack than the midfield. Midfield was more of a hold it all together part of the squad.</t>
  </si>
  <si>
    <t>2. Virgil Van Dijk played every minute of the 2019/20 season. This shows the defensive stability aided the team a lot. they didn’t always need to be explosive and score a lot of goals, and still scorelines like 1-0, 2-0, 2-1 won games.</t>
  </si>
  <si>
    <t xml:space="preserve">3. Compared to previous seasons, this Liverpool team scored lesser goals and still managed to clinch the title. Defensive and midfield stabilities aided that. </t>
  </si>
  <si>
    <t>4. Divock Origi completed just ~8 whole 90's but still had G/90 same as Wijnaldum, an almost regular starter!</t>
  </si>
  <si>
    <t>Minutes per G+A</t>
  </si>
  <si>
    <t>Virgil van Dijk</t>
  </si>
  <si>
    <t>Daniel Sturridge</t>
  </si>
  <si>
    <t>Kelleher</t>
  </si>
  <si>
    <t>Conor Bradley</t>
  </si>
  <si>
    <t>Luis Diaz</t>
  </si>
  <si>
    <t>Harvey Elliot</t>
  </si>
  <si>
    <t>Wataru Endo</t>
  </si>
  <si>
    <t>Cody Gakpo</t>
  </si>
  <si>
    <t>Ryan Gravenberch</t>
  </si>
  <si>
    <t>Diogo Jota</t>
  </si>
  <si>
    <t>Ibrahima Konate</t>
  </si>
  <si>
    <t xml:space="preserve">Joel Matip </t>
  </si>
  <si>
    <t>Darwin Nunez</t>
  </si>
  <si>
    <t>Jarell Quansah</t>
  </si>
  <si>
    <t>Dominik Szoboszlai</t>
  </si>
  <si>
    <t>Kostas Tsimikas</t>
  </si>
  <si>
    <t>Federico Chiesa</t>
  </si>
  <si>
    <t xml:space="preserve">Ryan Gravenberch </t>
  </si>
  <si>
    <t>Alexis Mac Allister</t>
  </si>
  <si>
    <t>Per 90' Analysis</t>
  </si>
  <si>
    <t>per 90' analysis</t>
  </si>
  <si>
    <t xml:space="preserve">G </t>
  </si>
  <si>
    <t xml:space="preserve">A </t>
  </si>
  <si>
    <t>Key Analysis</t>
  </si>
  <si>
    <t>2018/19 saw multiple CB partnerships. Virgil van Dijk was a constant at LCB position, while the RCB minutes got shared by Lovren, Matip and Gomez. For a League lost on fine margins, consistency matters, and the defence partnerships were inconsistent.</t>
  </si>
  <si>
    <t xml:space="preserve">Divock Origi proved to be Jurgen Klopp's super sub. He completed just ~4 90's and had a better per 90' performance than Wijnaldum. </t>
  </si>
  <si>
    <t xml:space="preserve">Liverpool got 4 red cards during this season. Going down to 10 men during a season 4 times again contributes to fine margins. </t>
  </si>
  <si>
    <t>It was the first season where Klopp fully implimented his forward moving fullbacks ideology. Trent Alexander-Arnold and Andy Robertson gathered 23 assists. This also explains the lack of creativity from the midfield, as they became the holding glue of the team, by putting in high press, making covering runs, shielding spaces when fullbacks run forward, rather than creating chances.</t>
  </si>
  <si>
    <t>Last season of Jurgen saw a bit of injury crisis. His ever reliable fullback pairing of Trent and Robertson suffered multiple injuries in the season, hence saw lesser contribution to G and A in the season.</t>
  </si>
  <si>
    <t xml:space="preserve">The midfield was rebuilt completely this season. Players like Szoboszlai and Mac Allister had more goal contributions than classic Klopp midfield. </t>
  </si>
  <si>
    <t>Diogo Jota, who's season was hit with injuries, played just ~12 90's but had massive impacts on the game and gathered nearly similar numbers as Cody Gakpo and Luis Diaz.</t>
  </si>
  <si>
    <t>Arne Slot's first season saw a slightly different brand of football at Anfield. Liverpool were a little less reliant on the fullbacks running forward to provide creativity, and had them defending, and midfield and attack doing the most in that department.</t>
  </si>
  <si>
    <t>This season had comparitively a little less G/A contribution from fullbacks (11 compared to previous season's 19), and those numbers adjusted themselves in the midfield.  Curtis Jones was the one player who had his share of say in the G/A from the midfield even after his minutes being managed.</t>
  </si>
  <si>
    <t xml:space="preserve">Diogo Jota and Darwin Nunez became the impact players off bench, having satisfactory and important contribution to G/A tally, even after injuries and rotation. </t>
  </si>
  <si>
    <t>There are exactly 11 players with 20+ 90's completed, which shows that Arne Slot and his staff managed the team's fitness levels well, and were able to consistently rely on the same players to start.</t>
  </si>
  <si>
    <t>Key Analysis (23/24)</t>
  </si>
  <si>
    <t>Key Analysis (24/25)</t>
  </si>
  <si>
    <t>This system had the forwards doing most of the work in attacking. Though midfield and defence cotributed, the defence's creative contribution wasn't anywhere near what Klopp's systems did in 2018/19 or 2019/20.</t>
  </si>
  <si>
    <t>METRIC</t>
  </si>
  <si>
    <t>18/19</t>
  </si>
  <si>
    <t>19/20</t>
  </si>
  <si>
    <t>Goals</t>
  </si>
  <si>
    <t>Assists</t>
  </si>
  <si>
    <t>Avg. G+A/90</t>
  </si>
  <si>
    <t>Total Yellows</t>
  </si>
  <si>
    <t>Total Reds</t>
  </si>
  <si>
    <t>Avg. Minutes</t>
  </si>
  <si>
    <t>No. of Players</t>
  </si>
  <si>
    <t>Change</t>
  </si>
  <si>
    <t>Defense G</t>
  </si>
  <si>
    <t>Midfield G</t>
  </si>
  <si>
    <t>Forwards G</t>
  </si>
  <si>
    <t>Defense A</t>
  </si>
  <si>
    <t>Midfield A</t>
  </si>
  <si>
    <t>Forwards A</t>
  </si>
  <si>
    <t>% Of Goals (Defense)</t>
  </si>
  <si>
    <t>% of Goals (Midfield)</t>
  </si>
  <si>
    <t>% Of Goals (Attack)</t>
  </si>
  <si>
    <t>% Of Assists (Defense)</t>
  </si>
  <si>
    <t>% Of Assists (Midfield)</t>
  </si>
  <si>
    <t>% Of Assists (Attack)</t>
  </si>
  <si>
    <t>23/24</t>
  </si>
  <si>
    <t>24/25</t>
  </si>
  <si>
    <t>The charts shown above show how roles didn't change, rather players optimized their outputs in 19/20 Liverpool, which proved to be the major change. Midfield, being the stabilising core, provided 20-25% of total goals and assists, not the most eye catching numbers, but their work was done very well else where on the pitch. Forwards had the primary attacking burden in terms of goals during both seasons, and majorly due to Jurgen's set up of attacking fullbacks, defense gathered most assists both seasons, but the number dropped slightly in 19/20, because the attacking responsibility was shifted a bit higher up the pitch to forwards. Interestingly enough, LIverpool scored less goals in 19/20 than in 18/19 and were still able to win the title. This could be because of lesser disciplinary problems (3 less red cards in 19/20) and being able to finish of games even with scorlines like 1-0, 2-0 or 2-1</t>
  </si>
  <si>
    <t>As it can be seen in graphs above, 24/25 Liverpool didn't change their style of playing per-se. They kept the underlying tactical ideology, but the emphasis with in the system shifted. From seasons 2018/19 till 2022/23, Jurgen Klopp played the system where midfield was the stabilizing core of the team and the defense helped the attack. With the midfield rebuild of 2023, Liverpool relied slightly less on the defense for that, i.e., the midfield role shifted from being the glue to being the contributor. Arne Slot kept the same ideology, tightening the defense at bit by making Ryan Gravenberch a regualr starter at the CDM position, and the midfield were trusted more (Midfield goals increased by ~0.15% while assists increased by ~7%). Also, the fact that they were able to maintain physical fitness of the team so well that 11 players completed 20 or above 90's played, and were able to maintain a consistent playing XI was a massive bonus for them in 2024-25, which ultimately helped them clinch the premier league title. during both the seasons, the forwards remained highest contributors of G/A in the team, which also highlights individual brilliance such as that of Mo Salah.</t>
  </si>
  <si>
    <t>Outfield Players Comparison (1500+ Minutes) [2018/19 v. 2023/24]</t>
  </si>
  <si>
    <t>2018/19</t>
  </si>
  <si>
    <t>2023/24</t>
  </si>
  <si>
    <t>Players (1500+ Minutes)</t>
  </si>
  <si>
    <t>G+A/90'</t>
  </si>
  <si>
    <t>Geoginio Wijnaldum</t>
  </si>
  <si>
    <t>% of Goals in Dept</t>
  </si>
  <si>
    <t>% of Assists in Dept</t>
  </si>
  <si>
    <t>Defense</t>
  </si>
  <si>
    <t>Midfield</t>
  </si>
  <si>
    <t>Attack</t>
  </si>
  <si>
    <t>2019/20</t>
  </si>
  <si>
    <t>2024/25</t>
  </si>
  <si>
    <t>Outfield Players Comparison (1500+ Minutes) [2019/20 v.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</si>
</sst>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
  </numFmts>
  <fonts count="7" x14ac:knownFonts="1">
    <font>
      <sz val="11"/>
      <color theme="1"/>
      <name val="Calibri"/>
      <family val="2"/>
      <scheme val="minor"/>
    </font>
    <font>
      <b/>
      <sz val="12"/>
      <color theme="1"/>
      <name val="Aptos"/>
      <family val="2"/>
    </font>
    <font>
      <sz val="12"/>
      <color theme="1"/>
      <name val="Aptos"/>
      <family val="2"/>
    </font>
    <font>
      <b/>
      <sz val="11.5"/>
      <color theme="1"/>
      <name val="Aptos"/>
      <family val="2"/>
    </font>
    <font>
      <sz val="11"/>
      <color theme="1"/>
      <name val="Calibri"/>
      <family val="2"/>
      <scheme val="minor"/>
    </font>
    <font>
      <b/>
      <sz val="11"/>
      <color theme="1"/>
      <name val="Aptos"/>
      <family val="2"/>
    </font>
    <font>
      <sz val="11"/>
      <color theme="1"/>
      <name val="Aptos"/>
      <family val="2"/>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47">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2" fillId="0" borderId="1" xfId="0" applyFont="1" applyBorder="1"/>
    <xf numFmtId="164" fontId="2" fillId="0" borderId="0" xfId="0" applyNumberFormat="1" applyFont="1"/>
    <xf numFmtId="0" fontId="2" fillId="0" borderId="2" xfId="0" applyFont="1" applyBorder="1"/>
    <xf numFmtId="165" fontId="2" fillId="0" borderId="0" xfId="0" applyNumberFormat="1" applyFont="1"/>
    <xf numFmtId="0" fontId="2" fillId="2" borderId="0" xfId="0" applyFont="1" applyFill="1"/>
    <xf numFmtId="0" fontId="2" fillId="2" borderId="1" xfId="0" applyFont="1" applyFill="1" applyBorder="1"/>
    <xf numFmtId="0" fontId="6" fillId="0" borderId="0" xfId="0" applyFont="1"/>
    <xf numFmtId="0" fontId="6" fillId="0" borderId="4" xfId="0" applyFont="1" applyBorder="1"/>
    <xf numFmtId="0" fontId="6" fillId="0" borderId="0" xfId="0" applyFont="1" applyAlignment="1">
      <alignment horizontal="center"/>
    </xf>
    <xf numFmtId="0" fontId="6" fillId="0" borderId="8" xfId="0" applyFont="1" applyBorder="1"/>
    <xf numFmtId="0" fontId="6" fillId="0" borderId="9" xfId="0" applyFont="1" applyBorder="1" applyAlignment="1">
      <alignment horizontal="center"/>
    </xf>
    <xf numFmtId="0" fontId="6" fillId="0" borderId="9" xfId="0" applyFont="1" applyBorder="1"/>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164" fontId="6" fillId="0" borderId="9" xfId="0" applyNumberFormat="1" applyFont="1" applyBorder="1"/>
    <xf numFmtId="10" fontId="6" fillId="0" borderId="0" xfId="1" applyNumberFormat="1" applyFont="1" applyBorder="1"/>
    <xf numFmtId="10" fontId="6" fillId="0" borderId="3" xfId="1" applyNumberFormat="1" applyFont="1" applyBorder="1"/>
    <xf numFmtId="10" fontId="6" fillId="0" borderId="9" xfId="1" applyNumberFormat="1" applyFont="1" applyBorder="1"/>
    <xf numFmtId="10" fontId="6" fillId="0" borderId="10" xfId="1" applyNumberFormat="1" applyFont="1" applyBorder="1"/>
    <xf numFmtId="10" fontId="6" fillId="0" borderId="0" xfId="0" applyNumberFormat="1" applyFont="1"/>
    <xf numFmtId="166" fontId="6" fillId="0" borderId="0" xfId="0" applyNumberFormat="1" applyFont="1"/>
    <xf numFmtId="166" fontId="6" fillId="0" borderId="9" xfId="0" applyNumberFormat="1" applyFont="1" applyBorder="1"/>
    <xf numFmtId="0" fontId="6" fillId="0" borderId="6" xfId="0" applyFont="1" applyBorder="1"/>
    <xf numFmtId="0" fontId="6" fillId="0" borderId="6" xfId="0" applyFont="1" applyBorder="1" applyAlignment="1">
      <alignment horizontal="center"/>
    </xf>
    <xf numFmtId="166" fontId="6" fillId="0" borderId="6" xfId="0" applyNumberFormat="1" applyFont="1" applyBorder="1"/>
    <xf numFmtId="10" fontId="6" fillId="0" borderId="6" xfId="1" applyNumberFormat="1" applyFont="1" applyBorder="1"/>
    <xf numFmtId="164" fontId="6" fillId="0" borderId="0" xfId="0" applyNumberFormat="1" applyFont="1"/>
    <xf numFmtId="164" fontId="6" fillId="0" borderId="6" xfId="0" applyNumberFormat="1" applyFont="1" applyBorder="1"/>
    <xf numFmtId="165" fontId="6" fillId="0" borderId="0" xfId="0" applyNumberFormat="1" applyFont="1"/>
    <xf numFmtId="0" fontId="2" fillId="0" borderId="0" xfId="0" applyFont="1" applyAlignment="1">
      <alignment horizontal="center" wrapText="1"/>
    </xf>
    <xf numFmtId="0" fontId="1" fillId="0" borderId="0" xfId="0" applyFont="1" applyAlignment="1">
      <alignment horizontal="center" wrapText="1"/>
    </xf>
    <xf numFmtId="0" fontId="1" fillId="0" borderId="0" xfId="0" applyFont="1" applyAlignment="1">
      <alignment horizontal="center"/>
    </xf>
    <xf numFmtId="0" fontId="3" fillId="0" borderId="0" xfId="0" applyFont="1" applyAlignment="1">
      <alignment horizontal="center" wrapText="1"/>
    </xf>
    <xf numFmtId="0" fontId="2" fillId="0" borderId="1" xfId="0" applyFont="1" applyBorder="1" applyAlignment="1">
      <alignment horizontal="center" wrapText="1"/>
    </xf>
    <xf numFmtId="0" fontId="5" fillId="0" borderId="5" xfId="0" applyFont="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center"/>
    </xf>
    <xf numFmtId="0" fontId="5" fillId="0" borderId="9" xfId="0" applyFont="1" applyBorder="1" applyAlignment="1">
      <alignment horizontal="center"/>
    </xf>
    <xf numFmtId="0" fontId="5" fillId="0" borderId="11" xfId="0" applyFont="1" applyBorder="1" applyAlignment="1">
      <alignment horizontal="center"/>
    </xf>
    <xf numFmtId="0" fontId="5" fillId="0" borderId="12" xfId="0" applyFont="1" applyBorder="1" applyAlignment="1">
      <alignment horizontal="center"/>
    </xf>
    <xf numFmtId="0" fontId="5" fillId="0" borderId="0" xfId="0" applyFont="1" applyAlignment="1">
      <alignment horizontal="center"/>
    </xf>
  </cellXfs>
  <cellStyles count="2">
    <cellStyle name="Normal" xfId="0" builtinId="0"/>
    <cellStyle name="Percent" xfId="1" builtinId="5"/>
  </cellStyles>
  <dxfs count="1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Per 90' Analysis (Forwards)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M. Salah</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G</c:v>
              </c:pt>
            </c:strLit>
          </c:cat>
          <c:val>
            <c:numRef>
              <c:f>'2018-19'!$P$24:$S$24</c:f>
              <c:numCache>
                <c:formatCode>0.0000</c:formatCode>
                <c:ptCount val="4"/>
                <c:pt idx="0">
                  <c:v>0.24444444444444444</c:v>
                </c:pt>
                <c:pt idx="1">
                  <c:v>8.8888888888888892E-2</c:v>
                </c:pt>
                <c:pt idx="2" formatCode="General">
                  <c:v>0.21111111111111111</c:v>
                </c:pt>
                <c:pt idx="3" formatCode="General">
                  <c:v>0.33333333333333331</c:v>
                </c:pt>
              </c:numCache>
            </c:numRef>
          </c:val>
          <c:extLst>
            <c:ext xmlns:c16="http://schemas.microsoft.com/office/drawing/2014/chart" uri="{C3380CC4-5D6E-409C-BE32-E72D297353CC}">
              <c16:uniqueId val="{00000000-556E-401F-B55C-DE8D7F8F4BD4}"/>
            </c:ext>
          </c:extLst>
        </c:ser>
        <c:ser>
          <c:idx val="1"/>
          <c:order val="1"/>
          <c:tx>
            <c:v>D. Origi</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G</c:v>
              </c:pt>
            </c:strLit>
          </c:cat>
          <c:val>
            <c:numRef>
              <c:f>'2018-19'!$P$25:$S$25</c:f>
              <c:numCache>
                <c:formatCode>0.0000</c:formatCode>
                <c:ptCount val="4"/>
                <c:pt idx="0">
                  <c:v>3.3333333333333333E-2</c:v>
                </c:pt>
                <c:pt idx="1">
                  <c:v>1.1111111111111112E-2</c:v>
                </c:pt>
                <c:pt idx="2" formatCode="General">
                  <c:v>3.3333333333333333E-2</c:v>
                </c:pt>
                <c:pt idx="3" formatCode="General">
                  <c:v>4.4444444444444446E-2</c:v>
                </c:pt>
              </c:numCache>
            </c:numRef>
          </c:val>
          <c:extLst>
            <c:ext xmlns:c16="http://schemas.microsoft.com/office/drawing/2014/chart" uri="{C3380CC4-5D6E-409C-BE32-E72D297353CC}">
              <c16:uniqueId val="{00000001-556E-401F-B55C-DE8D7F8F4BD4}"/>
            </c:ext>
          </c:extLst>
        </c:ser>
        <c:ser>
          <c:idx val="2"/>
          <c:order val="2"/>
          <c:tx>
            <c:v>S. Mane</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G</c:v>
              </c:pt>
            </c:strLit>
          </c:cat>
          <c:val>
            <c:numRef>
              <c:f>'2018-19'!$P$26:$S$26</c:f>
              <c:numCache>
                <c:formatCode>0.0000</c:formatCode>
                <c:ptCount val="4"/>
                <c:pt idx="0">
                  <c:v>0.24444444444444444</c:v>
                </c:pt>
                <c:pt idx="1">
                  <c:v>1.1111111111111112E-2</c:v>
                </c:pt>
                <c:pt idx="2" formatCode="General">
                  <c:v>0.24444444444444444</c:v>
                </c:pt>
                <c:pt idx="3" formatCode="General">
                  <c:v>0.25555555555555554</c:v>
                </c:pt>
              </c:numCache>
            </c:numRef>
          </c:val>
          <c:extLst>
            <c:ext xmlns:c16="http://schemas.microsoft.com/office/drawing/2014/chart" uri="{C3380CC4-5D6E-409C-BE32-E72D297353CC}">
              <c16:uniqueId val="{00000002-556E-401F-B55C-DE8D7F8F4BD4}"/>
            </c:ext>
          </c:extLst>
        </c:ser>
        <c:ser>
          <c:idx val="3"/>
          <c:order val="3"/>
          <c:tx>
            <c:v>R. Firmino</c:v>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G</c:v>
              </c:pt>
            </c:strLit>
          </c:cat>
          <c:val>
            <c:numRef>
              <c:f>'2018-19'!$P$27:$S$27</c:f>
              <c:numCache>
                <c:formatCode>0.0000</c:formatCode>
                <c:ptCount val="4"/>
                <c:pt idx="0">
                  <c:v>0.13333333333333333</c:v>
                </c:pt>
                <c:pt idx="1">
                  <c:v>6.6666666666666666E-2</c:v>
                </c:pt>
                <c:pt idx="2" formatCode="General">
                  <c:v>0.12222222222222222</c:v>
                </c:pt>
                <c:pt idx="3" formatCode="General">
                  <c:v>0.2</c:v>
                </c:pt>
              </c:numCache>
            </c:numRef>
          </c:val>
          <c:extLst>
            <c:ext xmlns:c16="http://schemas.microsoft.com/office/drawing/2014/chart" uri="{C3380CC4-5D6E-409C-BE32-E72D297353CC}">
              <c16:uniqueId val="{00000003-556E-401F-B55C-DE8D7F8F4BD4}"/>
            </c:ext>
          </c:extLst>
        </c:ser>
        <c:dLbls>
          <c:dLblPos val="outEnd"/>
          <c:showLegendKey val="0"/>
          <c:showVal val="1"/>
          <c:showCatName val="0"/>
          <c:showSerName val="0"/>
          <c:showPercent val="0"/>
          <c:showBubbleSize val="0"/>
        </c:dLbls>
        <c:gapWidth val="444"/>
        <c:overlap val="-90"/>
        <c:axId val="881175055"/>
        <c:axId val="881191855"/>
      </c:barChart>
      <c:catAx>
        <c:axId val="88117505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81191855"/>
        <c:crosses val="autoZero"/>
        <c:auto val="1"/>
        <c:lblAlgn val="ctr"/>
        <c:lblOffset val="100"/>
        <c:noMultiLvlLbl val="0"/>
      </c:catAx>
      <c:valAx>
        <c:axId val="881191855"/>
        <c:scaling>
          <c:orientation val="minMax"/>
        </c:scaling>
        <c:delete val="1"/>
        <c:axPos val="l"/>
        <c:numFmt formatCode="0.0000" sourceLinked="1"/>
        <c:majorTickMark val="none"/>
        <c:minorTickMark val="none"/>
        <c:tickLblPos val="nextTo"/>
        <c:crossAx val="8811750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'2018-19'!$O$2</c:f>
              <c:strCache>
                <c:ptCount val="1"/>
                <c:pt idx="0">
                  <c:v>90's Played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('2018-19'!$A$3,'2018-19'!$A$6:$A$11,'2018-19'!$A$14:$A$21,'2018-19'!$A$24:$A$28)</c:f>
              <c:strCache>
                <c:ptCount val="20"/>
                <c:pt idx="0">
                  <c:v>Alisson</c:v>
                </c:pt>
                <c:pt idx="1">
                  <c:v>Virgil van Dijk</c:v>
                </c:pt>
                <c:pt idx="2">
                  <c:v>Joe Gomez</c:v>
                </c:pt>
                <c:pt idx="3">
                  <c:v>Trent Alexander-Arnold</c:v>
                </c:pt>
                <c:pt idx="4">
                  <c:v>Joel Matip</c:v>
                </c:pt>
                <c:pt idx="5">
                  <c:v>Andrew Robertson</c:v>
                </c:pt>
                <c:pt idx="6">
                  <c:v>Dejan Lovren</c:v>
                </c:pt>
                <c:pt idx="7">
                  <c:v>Georginio Wijnaldum</c:v>
                </c:pt>
                <c:pt idx="8">
                  <c:v>Xherdan Shaqiri</c:v>
                </c:pt>
                <c:pt idx="9">
                  <c:v>Alex Oxlade-Chamberlain</c:v>
                </c:pt>
                <c:pt idx="10">
                  <c:v>James Milner</c:v>
                </c:pt>
                <c:pt idx="11">
                  <c:v>Adam Lallana</c:v>
                </c:pt>
                <c:pt idx="12">
                  <c:v>Naby Keita</c:v>
                </c:pt>
                <c:pt idx="13">
                  <c:v>Jordan Henderson</c:v>
                </c:pt>
                <c:pt idx="14">
                  <c:v>Fabinho</c:v>
                </c:pt>
                <c:pt idx="15">
                  <c:v>Mohamed Salah</c:v>
                </c:pt>
                <c:pt idx="16">
                  <c:v>Divock Origi</c:v>
                </c:pt>
                <c:pt idx="17">
                  <c:v>Sadio Mane</c:v>
                </c:pt>
                <c:pt idx="18">
                  <c:v>Roberto Firmino</c:v>
                </c:pt>
                <c:pt idx="19">
                  <c:v>Daniel Sturridge</c:v>
                </c:pt>
              </c:strCache>
            </c:strRef>
          </c:cat>
          <c:val>
            <c:numRef>
              <c:f>('2018-19'!$O$3,'2018-19'!$O$6:$O$11,'2018-19'!$O$14:$O$21,'2018-19'!$O$24:$O$28)</c:f>
              <c:numCache>
                <c:formatCode>0.000</c:formatCode>
                <c:ptCount val="20"/>
                <c:pt idx="0">
                  <c:v>38</c:v>
                </c:pt>
                <c:pt idx="1">
                  <c:v>37.6</c:v>
                </c:pt>
                <c:pt idx="2">
                  <c:v>11.811111111111112</c:v>
                </c:pt>
                <c:pt idx="3">
                  <c:v>27.355555555555554</c:v>
                </c:pt>
                <c:pt idx="4">
                  <c:v>17.077777777777779</c:v>
                </c:pt>
                <c:pt idx="5">
                  <c:v>35.733333333333334</c:v>
                </c:pt>
                <c:pt idx="6">
                  <c:v>10.955555555555556</c:v>
                </c:pt>
                <c:pt idx="7">
                  <c:v>30.277777777777779</c:v>
                </c:pt>
                <c:pt idx="8">
                  <c:v>11.822222222222223</c:v>
                </c:pt>
                <c:pt idx="9">
                  <c:v>0.23333333333333334</c:v>
                </c:pt>
                <c:pt idx="10">
                  <c:v>19.877777777777776</c:v>
                </c:pt>
                <c:pt idx="11">
                  <c:v>5.2</c:v>
                </c:pt>
                <c:pt idx="12">
                  <c:v>15.444444444444445</c:v>
                </c:pt>
                <c:pt idx="13">
                  <c:v>22.077777777777779</c:v>
                </c:pt>
                <c:pt idx="14">
                  <c:v>22.411111111111111</c:v>
                </c:pt>
                <c:pt idx="15">
                  <c:v>36.111111111111114</c:v>
                </c:pt>
                <c:pt idx="16">
                  <c:v>4.1222222222222218</c:v>
                </c:pt>
                <c:pt idx="17">
                  <c:v>34.18888888888889</c:v>
                </c:pt>
                <c:pt idx="18">
                  <c:v>28.966666666666665</c:v>
                </c:pt>
                <c:pt idx="19">
                  <c:v>5.6555555555555559</c:v>
                </c:pt>
              </c:numCache>
            </c:numRef>
          </c:val>
          <c:extLst>
            <c:ext xmlns:c16="http://schemas.microsoft.com/office/drawing/2014/chart" uri="{C3380CC4-5D6E-409C-BE32-E72D297353CC}">
              <c16:uniqueId val="{00000000-F97B-4734-9B8A-8F1D81829C68}"/>
            </c:ext>
          </c:extLst>
        </c:ser>
        <c:dLbls>
          <c:dLblPos val="outEnd"/>
          <c:showLegendKey val="0"/>
          <c:showVal val="1"/>
          <c:showCatName val="0"/>
          <c:showSerName val="0"/>
          <c:showPercent val="0"/>
          <c:showBubbleSize val="0"/>
        </c:dLbls>
        <c:gapWidth val="444"/>
        <c:overlap val="-90"/>
        <c:axId val="1749056384"/>
        <c:axId val="1749056864"/>
      </c:barChart>
      <c:catAx>
        <c:axId val="174905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cap="all" spc="120" normalizeH="0" baseline="0">
                <a:solidFill>
                  <a:schemeClr val="tx1">
                    <a:lumMod val="65000"/>
                    <a:lumOff val="35000"/>
                  </a:schemeClr>
                </a:solidFill>
                <a:latin typeface="+mn-lt"/>
                <a:ea typeface="+mn-ea"/>
                <a:cs typeface="+mn-cs"/>
              </a:defRPr>
            </a:pPr>
            <a:endParaRPr lang="en-US"/>
          </a:p>
        </c:txPr>
        <c:crossAx val="1749056864"/>
        <c:crosses val="autoZero"/>
        <c:auto val="1"/>
        <c:lblAlgn val="ctr"/>
        <c:lblOffset val="100"/>
        <c:noMultiLvlLbl val="0"/>
      </c:catAx>
      <c:valAx>
        <c:axId val="1749056864"/>
        <c:scaling>
          <c:orientation val="minMax"/>
        </c:scaling>
        <c:delete val="1"/>
        <c:axPos val="l"/>
        <c:numFmt formatCode="0.000" sourceLinked="1"/>
        <c:majorTickMark val="none"/>
        <c:minorTickMark val="none"/>
        <c:tickLblPos val="nextTo"/>
        <c:crossAx val="174905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G</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('2018-19'!$A$6:$A$11,'2018-19'!$A$14:$A$21,'2018-19'!$A$24:$A$28)</c:f>
              <c:strCache>
                <c:ptCount val="19"/>
                <c:pt idx="0">
                  <c:v>Virgil van Dijk</c:v>
                </c:pt>
                <c:pt idx="1">
                  <c:v>Joe Gomez</c:v>
                </c:pt>
                <c:pt idx="2">
                  <c:v>Trent Alexander-Arnold</c:v>
                </c:pt>
                <c:pt idx="3">
                  <c:v>Joel Matip</c:v>
                </c:pt>
                <c:pt idx="4">
                  <c:v>Andrew Robertson</c:v>
                </c:pt>
                <c:pt idx="5">
                  <c:v>Dejan Lovren</c:v>
                </c:pt>
                <c:pt idx="6">
                  <c:v>Georginio Wijnaldum</c:v>
                </c:pt>
                <c:pt idx="7">
                  <c:v>Xherdan Shaqiri</c:v>
                </c:pt>
                <c:pt idx="8">
                  <c:v>Alex Oxlade-Chamberlain</c:v>
                </c:pt>
                <c:pt idx="9">
                  <c:v>James Milner</c:v>
                </c:pt>
                <c:pt idx="10">
                  <c:v>Adam Lallana</c:v>
                </c:pt>
                <c:pt idx="11">
                  <c:v>Naby Keita</c:v>
                </c:pt>
                <c:pt idx="12">
                  <c:v>Jordan Henderson</c:v>
                </c:pt>
                <c:pt idx="13">
                  <c:v>Fabinho</c:v>
                </c:pt>
                <c:pt idx="14">
                  <c:v>Mohamed Salah</c:v>
                </c:pt>
                <c:pt idx="15">
                  <c:v>Divock Origi</c:v>
                </c:pt>
                <c:pt idx="16">
                  <c:v>Sadio Mane</c:v>
                </c:pt>
                <c:pt idx="17">
                  <c:v>Roberto Firmino</c:v>
                </c:pt>
                <c:pt idx="18">
                  <c:v>Daniel Sturridge</c:v>
                </c:pt>
              </c:strCache>
            </c:strRef>
          </c:cat>
          <c:val>
            <c:numRef>
              <c:f>('2018-19'!$F$6:$F$11,'2018-19'!$F$14:$F$21,'2018-19'!$F$24:$F$28)</c:f>
              <c:numCache>
                <c:formatCode>General</c:formatCode>
                <c:ptCount val="19"/>
                <c:pt idx="0">
                  <c:v>4</c:v>
                </c:pt>
                <c:pt idx="1">
                  <c:v>0</c:v>
                </c:pt>
                <c:pt idx="2">
                  <c:v>1</c:v>
                </c:pt>
                <c:pt idx="3">
                  <c:v>1</c:v>
                </c:pt>
                <c:pt idx="4">
                  <c:v>0</c:v>
                </c:pt>
                <c:pt idx="5">
                  <c:v>1</c:v>
                </c:pt>
                <c:pt idx="6">
                  <c:v>3</c:v>
                </c:pt>
                <c:pt idx="7">
                  <c:v>6</c:v>
                </c:pt>
                <c:pt idx="8">
                  <c:v>0</c:v>
                </c:pt>
                <c:pt idx="9">
                  <c:v>5</c:v>
                </c:pt>
                <c:pt idx="10">
                  <c:v>0</c:v>
                </c:pt>
                <c:pt idx="11">
                  <c:v>2</c:v>
                </c:pt>
                <c:pt idx="12">
                  <c:v>1</c:v>
                </c:pt>
                <c:pt idx="13">
                  <c:v>1</c:v>
                </c:pt>
                <c:pt idx="14">
                  <c:v>22</c:v>
                </c:pt>
                <c:pt idx="15">
                  <c:v>3</c:v>
                </c:pt>
                <c:pt idx="16">
                  <c:v>22</c:v>
                </c:pt>
                <c:pt idx="17">
                  <c:v>12</c:v>
                </c:pt>
                <c:pt idx="18">
                  <c:v>2</c:v>
                </c:pt>
              </c:numCache>
            </c:numRef>
          </c:val>
          <c:extLst>
            <c:ext xmlns:c16="http://schemas.microsoft.com/office/drawing/2014/chart" uri="{C3380CC4-5D6E-409C-BE32-E72D297353CC}">
              <c16:uniqueId val="{00000000-6D03-44A9-A28C-1B88D714CDBD}"/>
            </c:ext>
          </c:extLst>
        </c:ser>
        <c:ser>
          <c:idx val="1"/>
          <c:order val="1"/>
          <c:tx>
            <c:v>A</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('2018-19'!$A$6:$A$11,'2018-19'!$A$14:$A$21,'2018-19'!$A$24:$A$28)</c:f>
              <c:strCache>
                <c:ptCount val="19"/>
                <c:pt idx="0">
                  <c:v>Virgil van Dijk</c:v>
                </c:pt>
                <c:pt idx="1">
                  <c:v>Joe Gomez</c:v>
                </c:pt>
                <c:pt idx="2">
                  <c:v>Trent Alexander-Arnold</c:v>
                </c:pt>
                <c:pt idx="3">
                  <c:v>Joel Matip</c:v>
                </c:pt>
                <c:pt idx="4">
                  <c:v>Andrew Robertson</c:v>
                </c:pt>
                <c:pt idx="5">
                  <c:v>Dejan Lovren</c:v>
                </c:pt>
                <c:pt idx="6">
                  <c:v>Georginio Wijnaldum</c:v>
                </c:pt>
                <c:pt idx="7">
                  <c:v>Xherdan Shaqiri</c:v>
                </c:pt>
                <c:pt idx="8">
                  <c:v>Alex Oxlade-Chamberlain</c:v>
                </c:pt>
                <c:pt idx="9">
                  <c:v>James Milner</c:v>
                </c:pt>
                <c:pt idx="10">
                  <c:v>Adam Lallana</c:v>
                </c:pt>
                <c:pt idx="11">
                  <c:v>Naby Keita</c:v>
                </c:pt>
                <c:pt idx="12">
                  <c:v>Jordan Henderson</c:v>
                </c:pt>
                <c:pt idx="13">
                  <c:v>Fabinho</c:v>
                </c:pt>
                <c:pt idx="14">
                  <c:v>Mohamed Salah</c:v>
                </c:pt>
                <c:pt idx="15">
                  <c:v>Divock Origi</c:v>
                </c:pt>
                <c:pt idx="16">
                  <c:v>Sadio Mane</c:v>
                </c:pt>
                <c:pt idx="17">
                  <c:v>Roberto Firmino</c:v>
                </c:pt>
                <c:pt idx="18">
                  <c:v>Daniel Sturridge</c:v>
                </c:pt>
              </c:strCache>
            </c:strRef>
          </c:cat>
          <c:val>
            <c:numRef>
              <c:f>('2018-19'!$G$6:$G$11,'2018-19'!$G$14:$G$21,'2018-19'!$G$24:$G$28)</c:f>
              <c:numCache>
                <c:formatCode>General</c:formatCode>
                <c:ptCount val="19"/>
                <c:pt idx="0">
                  <c:v>2</c:v>
                </c:pt>
                <c:pt idx="1">
                  <c:v>0</c:v>
                </c:pt>
                <c:pt idx="2">
                  <c:v>12</c:v>
                </c:pt>
                <c:pt idx="3">
                  <c:v>0</c:v>
                </c:pt>
                <c:pt idx="4">
                  <c:v>11</c:v>
                </c:pt>
                <c:pt idx="5">
                  <c:v>0</c:v>
                </c:pt>
                <c:pt idx="6">
                  <c:v>0</c:v>
                </c:pt>
                <c:pt idx="7">
                  <c:v>3</c:v>
                </c:pt>
                <c:pt idx="8">
                  <c:v>0</c:v>
                </c:pt>
                <c:pt idx="9">
                  <c:v>4</c:v>
                </c:pt>
                <c:pt idx="10">
                  <c:v>0</c:v>
                </c:pt>
                <c:pt idx="11">
                  <c:v>1</c:v>
                </c:pt>
                <c:pt idx="12">
                  <c:v>3</c:v>
                </c:pt>
                <c:pt idx="13">
                  <c:v>2</c:v>
                </c:pt>
                <c:pt idx="14">
                  <c:v>8</c:v>
                </c:pt>
                <c:pt idx="15">
                  <c:v>1</c:v>
                </c:pt>
                <c:pt idx="16">
                  <c:v>1</c:v>
                </c:pt>
                <c:pt idx="17">
                  <c:v>6</c:v>
                </c:pt>
                <c:pt idx="18">
                  <c:v>1</c:v>
                </c:pt>
              </c:numCache>
            </c:numRef>
          </c:val>
          <c:extLst>
            <c:ext xmlns:c16="http://schemas.microsoft.com/office/drawing/2014/chart" uri="{C3380CC4-5D6E-409C-BE32-E72D297353CC}">
              <c16:uniqueId val="{00000001-6D03-44A9-A28C-1B88D714CDBD}"/>
            </c:ext>
          </c:extLst>
        </c:ser>
        <c:dLbls>
          <c:dLblPos val="ctr"/>
          <c:showLegendKey val="0"/>
          <c:showVal val="1"/>
          <c:showCatName val="0"/>
          <c:showSerName val="0"/>
          <c:showPercent val="0"/>
          <c:showBubbleSize val="0"/>
        </c:dLbls>
        <c:gapWidth val="79"/>
        <c:overlap val="100"/>
        <c:axId val="157577712"/>
        <c:axId val="157582992"/>
      </c:barChart>
      <c:catAx>
        <c:axId val="157577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57582992"/>
        <c:crosses val="autoZero"/>
        <c:auto val="1"/>
        <c:lblAlgn val="ctr"/>
        <c:lblOffset val="100"/>
        <c:noMultiLvlLbl val="0"/>
      </c:catAx>
      <c:valAx>
        <c:axId val="157582992"/>
        <c:scaling>
          <c:orientation val="minMax"/>
        </c:scaling>
        <c:delete val="1"/>
        <c:axPos val="l"/>
        <c:numFmt formatCode="0%" sourceLinked="1"/>
        <c:majorTickMark val="none"/>
        <c:minorTickMark val="none"/>
        <c:tickLblPos val="nextTo"/>
        <c:crossAx val="157577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Departmental</a:t>
            </a:r>
            <a:r>
              <a:rPr lang="en-IN" sz="1400" baseline="0"/>
              <a:t> Comparison G&amp;A/ 90'</a:t>
            </a:r>
            <a:endParaRPr lang="en-IN" sz="14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'2018-19'!$F$1</c:f>
              <c:strCache>
                <c:ptCount val="1"/>
                <c:pt idx="0">
                  <c:v>G</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Defenders</c:v>
              </c:pt>
            </c:strLit>
          </c:cat>
          <c:val>
            <c:numRef>
              <c:f>('2018-19'!$F$12,'2018-19'!$F$22,'2018-19'!$F$29)</c:f>
              <c:numCache>
                <c:formatCode>General</c:formatCode>
                <c:ptCount val="3"/>
                <c:pt idx="0">
                  <c:v>7</c:v>
                </c:pt>
                <c:pt idx="1">
                  <c:v>18</c:v>
                </c:pt>
                <c:pt idx="2">
                  <c:v>61</c:v>
                </c:pt>
              </c:numCache>
            </c:numRef>
          </c:val>
          <c:extLst>
            <c:ext xmlns:c16="http://schemas.microsoft.com/office/drawing/2014/chart" uri="{C3380CC4-5D6E-409C-BE32-E72D297353CC}">
              <c16:uniqueId val="{00000000-FA14-48CD-ACAC-8B1FC469242C}"/>
            </c:ext>
          </c:extLst>
        </c:ser>
        <c:ser>
          <c:idx val="1"/>
          <c:order val="1"/>
          <c:tx>
            <c:strRef>
              <c:f>'2018-19'!$G$1</c:f>
              <c:strCache>
                <c:ptCount val="1"/>
                <c:pt idx="0">
                  <c:v>A</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Defenders</c:v>
              </c:pt>
            </c:strLit>
          </c:cat>
          <c:val>
            <c:numRef>
              <c:f>('2018-19'!$G$12,'2018-19'!$G$22,'2018-19'!$G$29)</c:f>
              <c:numCache>
                <c:formatCode>General</c:formatCode>
                <c:ptCount val="3"/>
                <c:pt idx="0">
                  <c:v>25</c:v>
                </c:pt>
                <c:pt idx="1">
                  <c:v>13</c:v>
                </c:pt>
                <c:pt idx="2">
                  <c:v>17</c:v>
                </c:pt>
              </c:numCache>
            </c:numRef>
          </c:val>
          <c:extLst>
            <c:ext xmlns:c16="http://schemas.microsoft.com/office/drawing/2014/chart" uri="{C3380CC4-5D6E-409C-BE32-E72D297353CC}">
              <c16:uniqueId val="{00000001-FA14-48CD-ACAC-8B1FC469242C}"/>
            </c:ext>
          </c:extLst>
        </c:ser>
        <c:dLbls>
          <c:dLblPos val="outEnd"/>
          <c:showLegendKey val="0"/>
          <c:showVal val="1"/>
          <c:showCatName val="0"/>
          <c:showSerName val="0"/>
          <c:showPercent val="0"/>
          <c:showBubbleSize val="0"/>
        </c:dLbls>
        <c:gapWidth val="444"/>
        <c:overlap val="-90"/>
        <c:axId val="2039639904"/>
        <c:axId val="2039656704"/>
      </c:barChart>
      <c:catAx>
        <c:axId val="203963990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39656704"/>
        <c:crosses val="autoZero"/>
        <c:auto val="1"/>
        <c:lblAlgn val="ctr"/>
        <c:lblOffset val="100"/>
        <c:noMultiLvlLbl val="0"/>
      </c:catAx>
      <c:valAx>
        <c:axId val="2039656704"/>
        <c:scaling>
          <c:orientation val="minMax"/>
        </c:scaling>
        <c:delete val="1"/>
        <c:axPos val="l"/>
        <c:numFmt formatCode="General" sourceLinked="1"/>
        <c:majorTickMark val="none"/>
        <c:minorTickMark val="none"/>
        <c:tickLblPos val="nextTo"/>
        <c:crossAx val="2039639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'2019-20'!$E$1</c:f>
              <c:strCache>
                <c:ptCount val="1"/>
                <c:pt idx="0">
                  <c:v>Minutes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3"/>
              <c:pt idx="0">
                <c:v>1</c:v>
              </c:pt>
              <c:pt idx="1">
                <c:v>2</c:v>
              </c:pt>
              <c:pt idx="2">
                <c:v>3</c:v>
              </c:pt>
              <c:pt idx="3">
                <c:v>6</c:v>
              </c:pt>
              <c:pt idx="4">
                <c:v>7</c:v>
              </c:pt>
              <c:pt idx="5">
                <c:v>8</c:v>
              </c:pt>
              <c:pt idx="6">
                <c:v>9</c:v>
              </c:pt>
              <c:pt idx="7">
                <c:v>10</c:v>
              </c:pt>
              <c:pt idx="8">
                <c:v>11</c:v>
              </c:pt>
              <c:pt idx="9">
                <c:v>12</c:v>
              </c:pt>
              <c:pt idx="10">
                <c:v>15</c:v>
              </c:pt>
              <c:pt idx="11">
                <c:v>16</c:v>
              </c:pt>
              <c:pt idx="12">
                <c:v>17</c:v>
              </c:pt>
              <c:pt idx="13">
                <c:v>18</c:v>
              </c:pt>
              <c:pt idx="14">
                <c:v>19</c:v>
              </c:pt>
              <c:pt idx="15">
                <c:v>20</c:v>
              </c:pt>
              <c:pt idx="16">
                <c:v>21</c:v>
              </c:pt>
              <c:pt idx="17">
                <c:v>22</c:v>
              </c:pt>
              <c:pt idx="18">
                <c:v>23</c:v>
              </c:pt>
              <c:pt idx="19">
                <c:v>26</c:v>
              </c:pt>
              <c:pt idx="20">
                <c:v>27</c:v>
              </c:pt>
              <c:pt idx="21">
                <c:v>28</c:v>
              </c:pt>
              <c:pt idx="22">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'2019-20'!$E$2:$E$30</c15:sqref>
                  </c15:fullRef>
                </c:ext>
              </c:extLst>
              <c:f>('2019-20'!$E$2:$E$4,'2019-20'!$E$7:$E$13,'2019-20'!$E$16:$E$24,'2019-20'!$E$27:$E$30)</c:f>
              <c:numCache>
                <c:formatCode>General</c:formatCode>
                <c:ptCount val="23"/>
                <c:pt idx="1">
                  <c:v>2543</c:v>
                </c:pt>
                <c:pt idx="2">
                  <c:v>875</c:v>
                </c:pt>
                <c:pt idx="3">
                  <c:v>3420</c:v>
                </c:pt>
                <c:pt idx="4">
                  <c:v>2004</c:v>
                </c:pt>
                <c:pt idx="5">
                  <c:v>3175</c:v>
                </c:pt>
                <c:pt idx="6">
                  <c:v>703</c:v>
                </c:pt>
                <c:pt idx="7">
                  <c:v>3111</c:v>
                </c:pt>
                <c:pt idx="8">
                  <c:v>777</c:v>
                </c:pt>
                <c:pt idx="9">
                  <c:v>230</c:v>
                </c:pt>
                <c:pt idx="10">
                  <c:v>2935</c:v>
                </c:pt>
                <c:pt idx="11">
                  <c:v>185</c:v>
                </c:pt>
                <c:pt idx="12">
                  <c:v>1485</c:v>
                </c:pt>
                <c:pt idx="13">
                  <c:v>937</c:v>
                </c:pt>
                <c:pt idx="14">
                  <c:v>382</c:v>
                </c:pt>
                <c:pt idx="15">
                  <c:v>815</c:v>
                </c:pt>
                <c:pt idx="16">
                  <c:v>126</c:v>
                </c:pt>
                <c:pt idx="17">
                  <c:v>2238</c:v>
                </c:pt>
                <c:pt idx="18">
                  <c:v>2079</c:v>
                </c:pt>
                <c:pt idx="19">
                  <c:v>2876</c:v>
                </c:pt>
                <c:pt idx="20">
                  <c:v>717</c:v>
                </c:pt>
                <c:pt idx="21">
                  <c:v>2747</c:v>
                </c:pt>
                <c:pt idx="22">
                  <c:v>2988</c:v>
                </c:pt>
              </c:numCache>
            </c:numRef>
          </c:val>
          <c:extLst>
            <c:ext xmlns:c16="http://schemas.microsoft.com/office/drawing/2014/chart" uri="{C3380CC4-5D6E-409C-BE32-E72D297353CC}">
              <c16:uniqueId val="{00000000-D176-41E9-9DAC-5BF9E65BFFBF}"/>
            </c:ext>
          </c:extLst>
        </c:ser>
        <c:dLbls>
          <c:dLblPos val="outEnd"/>
          <c:showLegendKey val="0"/>
          <c:showVal val="1"/>
          <c:showCatName val="0"/>
          <c:showSerName val="0"/>
          <c:showPercent val="0"/>
          <c:showBubbleSize val="0"/>
        </c:dLbls>
        <c:gapWidth val="444"/>
        <c:overlap val="-90"/>
        <c:axId val="194479503"/>
        <c:axId val="194469903"/>
      </c:barChart>
      <c:catAx>
        <c:axId val="1944795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469903"/>
        <c:crosses val="autoZero"/>
        <c:auto val="1"/>
        <c:lblAlgn val="ctr"/>
        <c:lblOffset val="100"/>
        <c:noMultiLvlLbl val="0"/>
      </c:catAx>
      <c:valAx>
        <c:axId val="194469903"/>
        <c:scaling>
          <c:orientation val="minMax"/>
        </c:scaling>
        <c:delete val="1"/>
        <c:axPos val="l"/>
        <c:numFmt formatCode="General" sourceLinked="1"/>
        <c:majorTickMark val="none"/>
        <c:minorTickMark val="none"/>
        <c:tickLblPos val="nextTo"/>
        <c:crossAx val="19447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'2019-20'!$F$1</c:f>
              <c:strCache>
                <c:ptCount val="1"/>
                <c:pt idx="0">
                  <c:v>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2"/>
              <c:pt idx="0">
                <c:v>2</c:v>
              </c:pt>
              <c:pt idx="1">
                <c:v>3</c:v>
              </c:pt>
              <c:pt idx="2">
                <c:v>6</c:v>
              </c:pt>
              <c:pt idx="3">
                <c:v>7</c:v>
              </c:pt>
              <c:pt idx="4">
                <c:v>8</c:v>
              </c:pt>
              <c:pt idx="5">
                <c:v>9</c:v>
              </c:pt>
              <c:pt idx="6">
                <c:v>10</c:v>
              </c:pt>
              <c:pt idx="7">
                <c:v>11</c:v>
              </c:pt>
              <c:pt idx="8">
                <c:v>12</c:v>
              </c:pt>
              <c:pt idx="9">
                <c:v>15</c:v>
              </c:pt>
              <c:pt idx="10">
                <c:v>16</c:v>
              </c:pt>
              <c:pt idx="11">
                <c:v>17</c:v>
              </c:pt>
              <c:pt idx="12">
                <c:v>18</c:v>
              </c:pt>
              <c:pt idx="13">
                <c:v>19</c:v>
              </c:pt>
              <c:pt idx="14">
                <c:v>20</c:v>
              </c:pt>
              <c:pt idx="15">
                <c:v>21</c:v>
              </c:pt>
              <c:pt idx="16">
                <c:v>22</c:v>
              </c:pt>
              <c:pt idx="17">
                <c:v>23</c:v>
              </c:pt>
              <c:pt idx="18">
                <c:v>26</c:v>
              </c:pt>
              <c:pt idx="19">
                <c:v>27</c:v>
              </c:pt>
              <c:pt idx="20">
                <c:v>28</c:v>
              </c:pt>
              <c:pt idx="21">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'2019-20'!$F$2:$F$30</c15:sqref>
                  </c15:fullRef>
                </c:ext>
              </c:extLst>
              <c:f>('2019-20'!$F$3:$F$4,'2019-20'!$F$7:$F$13,'2019-20'!$F$16:$F$24,'2019-20'!$F$27:$F$30)</c:f>
              <c:numCache>
                <c:formatCode>General</c:formatCode>
                <c:ptCount val="22"/>
                <c:pt idx="0">
                  <c:v>0</c:v>
                </c:pt>
                <c:pt idx="1">
                  <c:v>0</c:v>
                </c:pt>
                <c:pt idx="2">
                  <c:v>5</c:v>
                </c:pt>
                <c:pt idx="3">
                  <c:v>0</c:v>
                </c:pt>
                <c:pt idx="4">
                  <c:v>4</c:v>
                </c:pt>
                <c:pt idx="5">
                  <c:v>1</c:v>
                </c:pt>
                <c:pt idx="6">
                  <c:v>2</c:v>
                </c:pt>
                <c:pt idx="7">
                  <c:v>0</c:v>
                </c:pt>
                <c:pt idx="8">
                  <c:v>0</c:v>
                </c:pt>
                <c:pt idx="9">
                  <c:v>4</c:v>
                </c:pt>
                <c:pt idx="10">
                  <c:v>1</c:v>
                </c:pt>
                <c:pt idx="11">
                  <c:v>4</c:v>
                </c:pt>
                <c:pt idx="12">
                  <c:v>2</c:v>
                </c:pt>
                <c:pt idx="13">
                  <c:v>1</c:v>
                </c:pt>
                <c:pt idx="14">
                  <c:v>2</c:v>
                </c:pt>
                <c:pt idx="15">
                  <c:v>1</c:v>
                </c:pt>
                <c:pt idx="16">
                  <c:v>4</c:v>
                </c:pt>
                <c:pt idx="17">
                  <c:v>2</c:v>
                </c:pt>
                <c:pt idx="18">
                  <c:v>19</c:v>
                </c:pt>
                <c:pt idx="19">
                  <c:v>4</c:v>
                </c:pt>
                <c:pt idx="20">
                  <c:v>18</c:v>
                </c:pt>
                <c:pt idx="21">
                  <c:v>9</c:v>
                </c:pt>
              </c:numCache>
            </c:numRef>
          </c:val>
          <c:extLst>
            <c:ext xmlns:c16="http://schemas.microsoft.com/office/drawing/2014/chart" uri="{C3380CC4-5D6E-409C-BE32-E72D297353CC}">
              <c16:uniqueId val="{00000000-9793-4C48-96A6-8475F564E98F}"/>
            </c:ext>
          </c:extLst>
        </c:ser>
        <c:ser>
          <c:idx val="1"/>
          <c:order val="1"/>
          <c:tx>
            <c:strRef>
              <c:f>'2019-20'!$G$1</c:f>
              <c:strCache>
                <c:ptCount val="1"/>
                <c:pt idx="0">
                  <c: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2"/>
              <c:pt idx="0">
                <c:v>2</c:v>
              </c:pt>
              <c:pt idx="1">
                <c:v>3</c:v>
              </c:pt>
              <c:pt idx="2">
                <c:v>6</c:v>
              </c:pt>
              <c:pt idx="3">
                <c:v>7</c:v>
              </c:pt>
              <c:pt idx="4">
                <c:v>8</c:v>
              </c:pt>
              <c:pt idx="5">
                <c:v>9</c:v>
              </c:pt>
              <c:pt idx="6">
                <c:v>10</c:v>
              </c:pt>
              <c:pt idx="7">
                <c:v>11</c:v>
              </c:pt>
              <c:pt idx="8">
                <c:v>12</c:v>
              </c:pt>
              <c:pt idx="9">
                <c:v>15</c:v>
              </c:pt>
              <c:pt idx="10">
                <c:v>16</c:v>
              </c:pt>
              <c:pt idx="11">
                <c:v>17</c:v>
              </c:pt>
              <c:pt idx="12">
                <c:v>18</c:v>
              </c:pt>
              <c:pt idx="13">
                <c:v>19</c:v>
              </c:pt>
              <c:pt idx="14">
                <c:v>20</c:v>
              </c:pt>
              <c:pt idx="15">
                <c:v>21</c:v>
              </c:pt>
              <c:pt idx="16">
                <c:v>22</c:v>
              </c:pt>
              <c:pt idx="17">
                <c:v>23</c:v>
              </c:pt>
              <c:pt idx="18">
                <c:v>26</c:v>
              </c:pt>
              <c:pt idx="19">
                <c:v>27</c:v>
              </c:pt>
              <c:pt idx="20">
                <c:v>28</c:v>
              </c:pt>
              <c:pt idx="21">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'2019-20'!$G$2:$G$30</c15:sqref>
                  </c15:fullRef>
                </c:ext>
              </c:extLst>
              <c:f>('2019-20'!$G$3:$G$4,'2019-20'!$G$7:$G$13,'2019-20'!$G$16:$G$24,'2019-20'!$G$27:$G$30)</c:f>
              <c:numCache>
                <c:formatCode>General</c:formatCode>
                <c:ptCount val="22"/>
                <c:pt idx="0">
                  <c:v>1</c:v>
                </c:pt>
                <c:pt idx="1">
                  <c:v>0</c:v>
                </c:pt>
                <c:pt idx="2">
                  <c:v>1</c:v>
                </c:pt>
                <c:pt idx="3">
                  <c:v>0</c:v>
                </c:pt>
                <c:pt idx="4">
                  <c:v>13</c:v>
                </c:pt>
                <c:pt idx="5">
                  <c:v>0</c:v>
                </c:pt>
                <c:pt idx="6">
                  <c:v>12</c:v>
                </c:pt>
                <c:pt idx="7">
                  <c:v>1</c:v>
                </c:pt>
                <c:pt idx="8">
                  <c:v>0</c:v>
                </c:pt>
                <c:pt idx="9">
                  <c:v>0</c:v>
                </c:pt>
                <c:pt idx="10">
                  <c:v>0</c:v>
                </c:pt>
                <c:pt idx="11">
                  <c:v>1</c:v>
                </c:pt>
                <c:pt idx="12">
                  <c:v>2</c:v>
                </c:pt>
                <c:pt idx="13">
                  <c:v>1</c:v>
                </c:pt>
                <c:pt idx="14">
                  <c:v>3</c:v>
                </c:pt>
                <c:pt idx="15">
                  <c:v>0</c:v>
                </c:pt>
                <c:pt idx="16">
                  <c:v>5</c:v>
                </c:pt>
                <c:pt idx="17">
                  <c:v>3</c:v>
                </c:pt>
                <c:pt idx="18">
                  <c:v>10</c:v>
                </c:pt>
                <c:pt idx="19">
                  <c:v>1</c:v>
                </c:pt>
                <c:pt idx="20">
                  <c:v>7</c:v>
                </c:pt>
                <c:pt idx="21">
                  <c:v>8</c:v>
                </c:pt>
              </c:numCache>
            </c:numRef>
          </c:val>
          <c:extLst>
            <c:ext xmlns:c16="http://schemas.microsoft.com/office/drawing/2014/chart" uri="{C3380CC4-5D6E-409C-BE32-E72D297353CC}">
              <c16:uniqueId val="{00000001-9793-4C48-96A6-8475F564E98F}"/>
            </c:ext>
          </c:extLst>
        </c:ser>
        <c:dLbls>
          <c:dLblPos val="ctr"/>
          <c:showLegendKey val="0"/>
          <c:showVal val="1"/>
          <c:showCatName val="0"/>
          <c:showSerName val="0"/>
          <c:showPercent val="0"/>
          <c:showBubbleSize val="0"/>
        </c:dLbls>
        <c:gapWidth val="79"/>
        <c:overlap val="100"/>
        <c:axId val="903111071"/>
        <c:axId val="903108671"/>
      </c:barChart>
      <c:catAx>
        <c:axId val="903111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3108671"/>
        <c:crosses val="autoZero"/>
        <c:auto val="1"/>
        <c:lblAlgn val="ctr"/>
        <c:lblOffset val="100"/>
        <c:noMultiLvlLbl val="0"/>
      </c:catAx>
      <c:valAx>
        <c:axId val="903108671"/>
        <c:scaling>
          <c:orientation val="minMax"/>
        </c:scaling>
        <c:delete val="1"/>
        <c:axPos val="l"/>
        <c:numFmt formatCode="0%" sourceLinked="1"/>
        <c:majorTickMark val="none"/>
        <c:minorTickMark val="none"/>
        <c:tickLblPos val="nextTo"/>
        <c:crossAx val="903111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InterDepartmental Comparison of G &amp; A per 90'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G/90</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Defenders</c:v>
              </c:pt>
            </c:strLit>
          </c:cat>
          <c:val>
            <c:numRef>
              <c:f>('2019-20'!$P$14,'2019-20'!$P$25,'2019-20'!$P$31)</c:f>
              <c:numCache>
                <c:formatCode>0.000</c:formatCode>
                <c:ptCount val="3"/>
                <c:pt idx="0">
                  <c:v>0.13333333333333333</c:v>
                </c:pt>
                <c:pt idx="1">
                  <c:v>0.23333333333333334</c:v>
                </c:pt>
                <c:pt idx="2">
                  <c:v>0.55555555555555558</c:v>
                </c:pt>
              </c:numCache>
            </c:numRef>
          </c:val>
          <c:extLst>
            <c:ext xmlns:c16="http://schemas.microsoft.com/office/drawing/2014/chart" uri="{C3380CC4-5D6E-409C-BE32-E72D297353CC}">
              <c16:uniqueId val="{00000004-202E-4C34-B8A2-6ED825E43282}"/>
            </c:ext>
          </c:extLst>
        </c:ser>
        <c:ser>
          <c:idx val="1"/>
          <c:order val="1"/>
          <c:tx>
            <c:v>A/90</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
              <c:pt idx="0">
                <c:v>Defenders</c:v>
              </c:pt>
            </c:strLit>
          </c:cat>
          <c:val>
            <c:numRef>
              <c:f>('2019-20'!$Q$14,'2019-20'!$Q$25,'2019-20'!$Q$31)</c:f>
              <c:numCache>
                <c:formatCode>0.000</c:formatCode>
                <c:ptCount val="3"/>
                <c:pt idx="0">
                  <c:v>0.3</c:v>
                </c:pt>
                <c:pt idx="1">
                  <c:v>0.16666666666666666</c:v>
                </c:pt>
                <c:pt idx="2">
                  <c:v>0.28888888888888892</c:v>
                </c:pt>
              </c:numCache>
            </c:numRef>
          </c:val>
          <c:extLst>
            <c:ext xmlns:c16="http://schemas.microsoft.com/office/drawing/2014/chart" uri="{C3380CC4-5D6E-409C-BE32-E72D297353CC}">
              <c16:uniqueId val="{00000005-202E-4C34-B8A2-6ED825E43282}"/>
            </c:ext>
          </c:extLst>
        </c:ser>
        <c:dLbls>
          <c:dLblPos val="outEnd"/>
          <c:showLegendKey val="0"/>
          <c:showVal val="1"/>
          <c:showCatName val="0"/>
          <c:showSerName val="0"/>
          <c:showPercent val="0"/>
          <c:showBubbleSize val="0"/>
        </c:dLbls>
        <c:gapWidth val="444"/>
        <c:overlap val="-90"/>
        <c:axId val="1902406751"/>
        <c:axId val="1902423551"/>
      </c:barChart>
      <c:catAx>
        <c:axId val="19024067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02423551"/>
        <c:crosses val="autoZero"/>
        <c:auto val="1"/>
        <c:lblAlgn val="ctr"/>
        <c:lblOffset val="100"/>
        <c:noMultiLvlLbl val="0"/>
      </c:catAx>
      <c:valAx>
        <c:axId val="1902423551"/>
        <c:scaling>
          <c:orientation val="minMax"/>
        </c:scaling>
        <c:delete val="1"/>
        <c:axPos val="l"/>
        <c:numFmt formatCode="0.000" sourceLinked="1"/>
        <c:majorTickMark val="none"/>
        <c:minorTickMark val="none"/>
        <c:tickLblPos val="nextTo"/>
        <c:crossAx val="19024067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G v G-PK/90 of Forwards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G/90</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'2019-20'!$P$27:$P$30</c:f>
              <c:numCache>
                <c:formatCode>0.000</c:formatCode>
                <c:ptCount val="4"/>
                <c:pt idx="0">
                  <c:v>0.21111111111111111</c:v>
                </c:pt>
                <c:pt idx="1">
                  <c:v>4.4444444444444446E-2</c:v>
                </c:pt>
                <c:pt idx="2">
                  <c:v>0.2</c:v>
                </c:pt>
                <c:pt idx="3">
                  <c:v>0.1</c:v>
                </c:pt>
              </c:numCache>
            </c:numRef>
          </c:val>
          <c:extLst>
            <c:ext xmlns:c16="http://schemas.microsoft.com/office/drawing/2014/chart" uri="{C3380CC4-5D6E-409C-BE32-E72D297353CC}">
              <c16:uniqueId val="{00000000-AF31-419E-9173-CAFF2C6DB7F4}"/>
            </c:ext>
          </c:extLst>
        </c:ser>
        <c:ser>
          <c:idx val="1"/>
          <c:order val="1"/>
          <c:tx>
            <c:v>G-PK/90</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'2019-20'!$R$27:$R$30</c:f>
              <c:numCache>
                <c:formatCode>General</c:formatCode>
                <c:ptCount val="4"/>
                <c:pt idx="0">
                  <c:v>0.17777777777777778</c:v>
                </c:pt>
                <c:pt idx="1">
                  <c:v>4.4444444444444446E-2</c:v>
                </c:pt>
                <c:pt idx="2">
                  <c:v>0.2</c:v>
                </c:pt>
                <c:pt idx="3">
                  <c:v>0.1</c:v>
                </c:pt>
              </c:numCache>
            </c:numRef>
          </c:val>
          <c:extLst>
            <c:ext xmlns:c16="http://schemas.microsoft.com/office/drawing/2014/chart" uri="{C3380CC4-5D6E-409C-BE32-E72D297353CC}">
              <c16:uniqueId val="{00000001-AF31-419E-9173-CAFF2C6DB7F4}"/>
            </c:ext>
          </c:extLst>
        </c:ser>
        <c:dLbls>
          <c:dLblPos val="outEnd"/>
          <c:showLegendKey val="0"/>
          <c:showVal val="1"/>
          <c:showCatName val="0"/>
          <c:showSerName val="0"/>
          <c:showPercent val="0"/>
          <c:showBubbleSize val="0"/>
        </c:dLbls>
        <c:gapWidth val="444"/>
        <c:overlap val="-90"/>
        <c:axId val="182368223"/>
        <c:axId val="182370623"/>
      </c:barChart>
      <c:catAx>
        <c:axId val="1823682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370623"/>
        <c:crosses val="autoZero"/>
        <c:auto val="1"/>
        <c:lblAlgn val="ctr"/>
        <c:lblOffset val="100"/>
        <c:noMultiLvlLbl val="0"/>
      </c:catAx>
      <c:valAx>
        <c:axId val="182370623"/>
        <c:scaling>
          <c:orientation val="minMax"/>
        </c:scaling>
        <c:delete val="1"/>
        <c:axPos val="l"/>
        <c:numFmt formatCode="0.000" sourceLinked="1"/>
        <c:majorTickMark val="none"/>
        <c:minorTickMark val="none"/>
        <c:tickLblPos val="nextTo"/>
        <c:crossAx val="1823682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Minutes / G+A</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9"/>
              <c:pt idx="0">
                <c:v>1</c:v>
              </c:pt>
              <c:pt idx="1">
                <c:v>5</c:v>
              </c:pt>
              <c:pt idx="2">
                <c:v>7</c:v>
              </c:pt>
              <c:pt idx="3">
                <c:v>8</c:v>
              </c:pt>
              <c:pt idx="4">
                <c:v>9</c:v>
              </c:pt>
              <c:pt idx="5">
                <c:v>10</c:v>
              </c:pt>
              <c:pt idx="6">
                <c:v>14</c:v>
              </c:pt>
              <c:pt idx="7">
                <c:v>15</c:v>
              </c:pt>
              <c:pt idx="8">
                <c:v>16</c:v>
              </c:pt>
              <c:pt idx="9">
                <c:v>17</c:v>
              </c:pt>
              <c:pt idx="10">
                <c:v>18</c:v>
              </c:pt>
              <c:pt idx="11">
                <c:v>19</c:v>
              </c:pt>
              <c:pt idx="12">
                <c:v>20</c:v>
              </c:pt>
              <c:pt idx="13">
                <c:v>21</c:v>
              </c:pt>
              <c:pt idx="14">
                <c:v>22</c:v>
              </c:pt>
              <c:pt idx="15">
                <c:v>25</c:v>
              </c:pt>
              <c:pt idx="16">
                <c:v>26</c:v>
              </c:pt>
              <c:pt idx="17">
                <c:v>27</c:v>
              </c:pt>
              <c:pt idx="18">
                <c:v>28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'2019-20'!$T$3:$T$30</c15:sqref>
                  </c15:fullRef>
                </c:ext>
              </c:extLst>
              <c:f>('2019-20'!$T$3,'2019-20'!$T$7,'2019-20'!$T$9:$T$12,'2019-20'!$T$16:$T$24,'2019-20'!$T$27:$T$30)</c:f>
              <c:numCache>
                <c:formatCode>General</c:formatCode>
                <c:ptCount val="19"/>
                <c:pt idx="0">
                  <c:v>2543</c:v>
                </c:pt>
                <c:pt idx="1">
                  <c:v>570</c:v>
                </c:pt>
                <c:pt idx="2">
                  <c:v>186.76470588235293</c:v>
                </c:pt>
                <c:pt idx="3">
                  <c:v>703</c:v>
                </c:pt>
                <c:pt idx="4">
                  <c:v>222.21428571428572</c:v>
                </c:pt>
                <c:pt idx="5">
                  <c:v>777</c:v>
                </c:pt>
                <c:pt idx="6">
                  <c:v>733.75</c:v>
                </c:pt>
                <c:pt idx="7">
                  <c:v>185</c:v>
                </c:pt>
                <c:pt idx="8">
                  <c:v>297</c:v>
                </c:pt>
                <c:pt idx="9">
                  <c:v>234.25</c:v>
                </c:pt>
                <c:pt idx="10">
                  <c:v>191</c:v>
                </c:pt>
                <c:pt idx="11">
                  <c:v>163</c:v>
                </c:pt>
                <c:pt idx="12">
                  <c:v>126</c:v>
                </c:pt>
                <c:pt idx="13">
                  <c:v>248.66666666666666</c:v>
                </c:pt>
                <c:pt idx="14">
                  <c:v>415.8</c:v>
                </c:pt>
                <c:pt idx="15">
                  <c:v>99.172413793103445</c:v>
                </c:pt>
                <c:pt idx="16">
                  <c:v>143.4</c:v>
                </c:pt>
                <c:pt idx="17">
                  <c:v>109.88</c:v>
                </c:pt>
                <c:pt idx="18">
                  <c:v>175.76470588235293</c:v>
                </c:pt>
              </c:numCache>
            </c:numRef>
          </c:val>
          <c:extLst>
            <c:ext xmlns:c16="http://schemas.microsoft.com/office/drawing/2014/chart" uri="{C3380CC4-5D6E-409C-BE32-E72D297353CC}">
              <c16:uniqueId val="{00000000-B604-49E9-955F-CE60E747C913}"/>
            </c:ext>
          </c:extLst>
        </c:ser>
        <c:dLbls>
          <c:dLblPos val="outEnd"/>
          <c:showLegendKey val="0"/>
          <c:showVal val="1"/>
          <c:showCatName val="0"/>
          <c:showSerName val="0"/>
          <c:showPercent val="0"/>
          <c:showBubbleSize val="0"/>
        </c:dLbls>
        <c:gapWidth val="444"/>
        <c:overlap val="-90"/>
        <c:axId val="182417663"/>
        <c:axId val="182423903"/>
      </c:barChart>
      <c:catAx>
        <c:axId val="182417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2423903"/>
        <c:crosses val="autoZero"/>
        <c:auto val="1"/>
        <c:lblAlgn val="ctr"/>
        <c:lblOffset val="100"/>
        <c:noMultiLvlLbl val="0"/>
      </c:catAx>
      <c:valAx>
        <c:axId val="182423903"/>
        <c:scaling>
          <c:orientation val="minMax"/>
        </c:scaling>
        <c:delete val="1"/>
        <c:axPos val="l"/>
        <c:numFmt formatCode="General" sourceLinked="1"/>
        <c:majorTickMark val="none"/>
        <c:minorTickMark val="none"/>
        <c:tickLblPos val="nextTo"/>
        <c:crossAx val="18241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Minutes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2"/>
              <c:pt idx="0">
                <c:v>1</c:v>
              </c:pt>
              <c:pt idx="1">
                <c:v>2</c:v>
              </c:pt>
              <c:pt idx="2">
                <c:v>5</c:v>
              </c:pt>
              <c:pt idx="3">
                <c:v>6</c:v>
              </c:pt>
              <c:pt idx="4">
                <c:v>7</c:v>
              </c:pt>
              <c:pt idx="5">
                <c:v>8</c:v>
              </c:pt>
              <c:pt idx="6">
                <c:v>9</c:v>
              </c:pt>
              <c:pt idx="7">
                <c:v>10</c:v>
              </c:pt>
              <c:pt idx="8">
                <c:v>11</c:v>
              </c:pt>
              <c:pt idx="9">
                <c:v>12</c:v>
              </c:pt>
              <c:pt idx="10">
                <c:v>13</c:v>
              </c:pt>
              <c:pt idx="11">
                <c:v>16</c:v>
              </c:pt>
              <c:pt idx="12">
                <c:v>17</c:v>
              </c:pt>
              <c:pt idx="13">
                <c:v>18</c:v>
              </c:pt>
              <c:pt idx="14">
                <c:v>19</c:v>
              </c:pt>
              <c:pt idx="15">
                <c:v>20</c:v>
              </c:pt>
              <c:pt idx="16">
                <c:v>21</c:v>
              </c:pt>
              <c:pt idx="17">
                <c:v>24</c:v>
              </c:pt>
              <c:pt idx="18">
                <c:v>25</c:v>
              </c:pt>
              <c:pt idx="19">
                <c:v>26</c:v>
              </c:pt>
              <c:pt idx="20">
                <c:v>27</c:v>
              </c:pt>
              <c:pt idx="21">
                <c:v>28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'2023-24'!$O$3:$O$30</c15:sqref>
                  </c15:fullRef>
                </c:ext>
              </c:extLst>
              <c:f>('2023-24'!$O$3:$O$4,'2023-24'!$O$7:$O$15,'2023-24'!$O$18:$O$23,'2023-24'!$O$26:$O$30)</c:f>
              <c:numCache>
                <c:formatCode>0.000</c:formatCode>
                <c:ptCount val="22"/>
                <c:pt idx="0">
                  <c:v>28</c:v>
                </c:pt>
                <c:pt idx="1">
                  <c:v>10</c:v>
                </c:pt>
                <c:pt idx="2">
                  <c:v>23.944444444444443</c:v>
                </c:pt>
                <c:pt idx="3">
                  <c:v>8.3666666666666671</c:v>
                </c:pt>
                <c:pt idx="4">
                  <c:v>19.844444444444445</c:v>
                </c:pt>
                <c:pt idx="5">
                  <c:v>17.488888888888887</c:v>
                </c:pt>
                <c:pt idx="6">
                  <c:v>8.6777777777777771</c:v>
                </c:pt>
                <c:pt idx="7">
                  <c:v>13.222222222222221</c:v>
                </c:pt>
                <c:pt idx="8">
                  <c:v>7.5444444444444443</c:v>
                </c:pt>
                <c:pt idx="9">
                  <c:v>18.81111111111111</c:v>
                </c:pt>
                <c:pt idx="10">
                  <c:v>35.299999999999997</c:v>
                </c:pt>
                <c:pt idx="11">
                  <c:v>15.022222222222222</c:v>
                </c:pt>
                <c:pt idx="12">
                  <c:v>19.133333333333333</c:v>
                </c:pt>
                <c:pt idx="13">
                  <c:v>12.455555555555556</c:v>
                </c:pt>
                <c:pt idx="14">
                  <c:v>12.966666666666667</c:v>
                </c:pt>
                <c:pt idx="15">
                  <c:v>28.877777777777776</c:v>
                </c:pt>
                <c:pt idx="16">
                  <c:v>23.377777777777776</c:v>
                </c:pt>
                <c:pt idx="17">
                  <c:v>29.211111111111112</c:v>
                </c:pt>
                <c:pt idx="18">
                  <c:v>18.322222222222223</c:v>
                </c:pt>
                <c:pt idx="19">
                  <c:v>12.722222222222221</c:v>
                </c:pt>
                <c:pt idx="20">
                  <c:v>22.744444444444444</c:v>
                </c:pt>
                <c:pt idx="21">
                  <c:v>28.155555555555555</c:v>
                </c:pt>
              </c:numCache>
            </c:numRef>
          </c:val>
          <c:extLst>
            <c:ext xmlns:c16="http://schemas.microsoft.com/office/drawing/2014/chart" uri="{C3380CC4-5D6E-409C-BE32-E72D297353CC}">
              <c16:uniqueId val="{00000000-EB8B-422C-8A6F-5B399B5B7A17}"/>
            </c:ext>
          </c:extLst>
        </c:ser>
        <c:dLbls>
          <c:dLblPos val="outEnd"/>
          <c:showLegendKey val="0"/>
          <c:showVal val="1"/>
          <c:showCatName val="0"/>
          <c:showSerName val="0"/>
          <c:showPercent val="0"/>
          <c:showBubbleSize val="0"/>
        </c:dLbls>
        <c:gapWidth val="444"/>
        <c:overlap val="-90"/>
        <c:axId val="1295155023"/>
        <c:axId val="1295155503"/>
      </c:barChart>
      <c:catAx>
        <c:axId val="129515502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5155503"/>
        <c:crosses val="autoZero"/>
        <c:auto val="1"/>
        <c:lblAlgn val="ctr"/>
        <c:lblOffset val="100"/>
        <c:noMultiLvlLbl val="0"/>
      </c:catAx>
      <c:valAx>
        <c:axId val="1295155503"/>
        <c:scaling>
          <c:orientation val="minMax"/>
        </c:scaling>
        <c:delete val="1"/>
        <c:axPos val="l"/>
        <c:numFmt formatCode="0.000" sourceLinked="1"/>
        <c:majorTickMark val="none"/>
        <c:minorTickMark val="none"/>
        <c:tickLblPos val="nextTo"/>
        <c:crossAx val="1295155023"/>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Indepartmental</a:t>
            </a:r>
            <a:r>
              <a:rPr lang="en-IN" sz="1200" baseline="0"/>
              <a:t> Comparison</a:t>
            </a:r>
          </a:p>
          <a:p>
            <a:pPr>
              <a:defRPr/>
            </a:pPr>
            <a:r>
              <a:rPr lang="en-IN" sz="1200" baseline="0"/>
              <a:t>G &amp; A/90'</a:t>
            </a:r>
            <a:endParaRPr lang="en-IN" sz="12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G/90</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('2023-24'!$P$16,'2023-24'!$P$24,'2023-24'!$P$31)</c:f>
              <c:numCache>
                <c:formatCode>0.0000</c:formatCode>
                <c:ptCount val="3"/>
                <c:pt idx="0">
                  <c:v>0.12222222222222223</c:v>
                </c:pt>
                <c:pt idx="1">
                  <c:v>0.15555555555555556</c:v>
                </c:pt>
                <c:pt idx="2">
                  <c:v>0.61111111111111116</c:v>
                </c:pt>
              </c:numCache>
            </c:numRef>
          </c:val>
          <c:extLst>
            <c:ext xmlns:c16="http://schemas.microsoft.com/office/drawing/2014/chart" uri="{C3380CC4-5D6E-409C-BE32-E72D297353CC}">
              <c16:uniqueId val="{00000000-F2A7-42BA-BB36-8607369A7DEF}"/>
            </c:ext>
          </c:extLst>
        </c:ser>
        <c:ser>
          <c:idx val="1"/>
          <c:order val="1"/>
          <c:tx>
            <c:v>A/90</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('2023-24'!$Q$16,'2023-24'!$Q$24,'2023-24'!$Q$31)</c:f>
              <c:numCache>
                <c:formatCode>0.0000</c:formatCode>
                <c:ptCount val="3"/>
                <c:pt idx="0">
                  <c:v>0.16666666666666669</c:v>
                </c:pt>
                <c:pt idx="1">
                  <c:v>0.15555555555555556</c:v>
                </c:pt>
                <c:pt idx="2">
                  <c:v>0.34444444444444444</c:v>
                </c:pt>
              </c:numCache>
            </c:numRef>
          </c:val>
          <c:extLst>
            <c:ext xmlns:c16="http://schemas.microsoft.com/office/drawing/2014/chart" uri="{C3380CC4-5D6E-409C-BE32-E72D297353CC}">
              <c16:uniqueId val="{00000001-F2A7-42BA-BB36-8607369A7DEF}"/>
            </c:ext>
          </c:extLst>
        </c:ser>
        <c:dLbls>
          <c:dLblPos val="outEnd"/>
          <c:showLegendKey val="0"/>
          <c:showVal val="1"/>
          <c:showCatName val="0"/>
          <c:showSerName val="0"/>
          <c:showPercent val="0"/>
          <c:showBubbleSize val="0"/>
        </c:dLbls>
        <c:gapWidth val="444"/>
        <c:overlap val="-90"/>
        <c:axId val="878659903"/>
        <c:axId val="878660383"/>
      </c:barChart>
      <c:catAx>
        <c:axId val="878659903"/>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878660383"/>
        <c:crosses val="autoZero"/>
        <c:auto val="1"/>
        <c:lblAlgn val="ctr"/>
        <c:lblOffset val="100"/>
        <c:noMultiLvlLbl val="0"/>
      </c:catAx>
      <c:valAx>
        <c:axId val="878660383"/>
        <c:scaling>
          <c:orientation val="minMax"/>
        </c:scaling>
        <c:delete val="1"/>
        <c:axPos val="l"/>
        <c:numFmt formatCode="0.0000" sourceLinked="1"/>
        <c:majorTickMark val="none"/>
        <c:minorTickMark val="none"/>
        <c:tickLblPos val="nextTo"/>
        <c:crossAx val="878659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G</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0"/>
              <c:pt idx="0">
                <c:v>1</c:v>
              </c:pt>
              <c:pt idx="1">
                <c:v>2</c:v>
              </c:pt>
              <c:pt idx="2">
                <c:v>3</c:v>
              </c:pt>
              <c:pt idx="3">
                <c:v>4</c:v>
              </c:pt>
              <c:pt idx="4">
                <c:v>5</c:v>
              </c:pt>
              <c:pt idx="5">
                <c:v>6</c:v>
              </c:pt>
              <c:pt idx="6">
                <c:v>7</c:v>
              </c:pt>
              <c:pt idx="7">
                <c:v>8</c:v>
              </c:pt>
              <c:pt idx="8">
                <c:v>9</c:v>
              </c:pt>
              <c:pt idx="9">
                <c:v>12</c:v>
              </c:pt>
              <c:pt idx="10">
                <c:v>13</c:v>
              </c:pt>
              <c:pt idx="11">
                <c:v>14</c:v>
              </c:pt>
              <c:pt idx="12">
                <c:v>15</c:v>
              </c:pt>
              <c:pt idx="13">
                <c:v>16</c:v>
              </c:pt>
              <c:pt idx="14">
                <c:v>17</c:v>
              </c:pt>
              <c:pt idx="15">
                <c:v>20</c:v>
              </c:pt>
              <c:pt idx="16">
                <c:v>21</c:v>
              </c:pt>
              <c:pt idx="17">
                <c:v>22</c:v>
              </c:pt>
              <c:pt idx="18">
                <c:v>23</c:v>
              </c:pt>
              <c:pt idx="19">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'2023-24'!$F$7:$F$30</c15:sqref>
                  </c15:fullRef>
                </c:ext>
              </c:extLst>
              <c:f>('2023-24'!$F$7:$F$15,'2023-24'!$F$18:$F$23,'2023-24'!$F$26:$F$30)</c:f>
              <c:numCache>
                <c:formatCode>General</c:formatCode>
                <c:ptCount val="20"/>
                <c:pt idx="0">
                  <c:v>3</c:v>
                </c:pt>
                <c:pt idx="1">
                  <c:v>1</c:v>
                </c:pt>
                <c:pt idx="2">
                  <c:v>0</c:v>
                </c:pt>
                <c:pt idx="3">
                  <c:v>0</c:v>
                </c:pt>
                <c:pt idx="4">
                  <c:v>0</c:v>
                </c:pt>
                <c:pt idx="5">
                  <c:v>2</c:v>
                </c:pt>
                <c:pt idx="6">
                  <c:v>0</c:v>
                </c:pt>
                <c:pt idx="7">
                  <c:v>3</c:v>
                </c:pt>
                <c:pt idx="8">
                  <c:v>2</c:v>
                </c:pt>
                <c:pt idx="9">
                  <c:v>3</c:v>
                </c:pt>
                <c:pt idx="10">
                  <c:v>1</c:v>
                </c:pt>
                <c:pt idx="11">
                  <c:v>1</c:v>
                </c:pt>
                <c:pt idx="12">
                  <c:v>1</c:v>
                </c:pt>
                <c:pt idx="13">
                  <c:v>5</c:v>
                </c:pt>
                <c:pt idx="14">
                  <c:v>3</c:v>
                </c:pt>
                <c:pt idx="15">
                  <c:v>8</c:v>
                </c:pt>
                <c:pt idx="16">
                  <c:v>8</c:v>
                </c:pt>
                <c:pt idx="17">
                  <c:v>10</c:v>
                </c:pt>
                <c:pt idx="18">
                  <c:v>11</c:v>
                </c:pt>
                <c:pt idx="19">
                  <c:v>18</c:v>
                </c:pt>
              </c:numCache>
            </c:numRef>
          </c:val>
          <c:extLst>
            <c:ext xmlns:c16="http://schemas.microsoft.com/office/drawing/2014/chart" uri="{C3380CC4-5D6E-409C-BE32-E72D297353CC}">
              <c16:uniqueId val="{00000000-5B0A-4E09-BF54-47EB3719AF01}"/>
            </c:ext>
          </c:extLst>
        </c:ser>
        <c:ser>
          <c:idx val="1"/>
          <c:order val="1"/>
          <c:tx>
            <c:v>A</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0"/>
              <c:pt idx="0">
                <c:v>1</c:v>
              </c:pt>
              <c:pt idx="1">
                <c:v>2</c:v>
              </c:pt>
              <c:pt idx="2">
                <c:v>3</c:v>
              </c:pt>
              <c:pt idx="3">
                <c:v>4</c:v>
              </c:pt>
              <c:pt idx="4">
                <c:v>5</c:v>
              </c:pt>
              <c:pt idx="5">
                <c:v>6</c:v>
              </c:pt>
              <c:pt idx="6">
                <c:v>7</c:v>
              </c:pt>
              <c:pt idx="7">
                <c:v>8</c:v>
              </c:pt>
              <c:pt idx="8">
                <c:v>9</c:v>
              </c:pt>
              <c:pt idx="9">
                <c:v>12</c:v>
              </c:pt>
              <c:pt idx="10">
                <c:v>13</c:v>
              </c:pt>
              <c:pt idx="11">
                <c:v>14</c:v>
              </c:pt>
              <c:pt idx="12">
                <c:v>15</c:v>
              </c:pt>
              <c:pt idx="13">
                <c:v>16</c:v>
              </c:pt>
              <c:pt idx="14">
                <c:v>17</c:v>
              </c:pt>
              <c:pt idx="15">
                <c:v>20</c:v>
              </c:pt>
              <c:pt idx="16">
                <c:v>21</c:v>
              </c:pt>
              <c:pt idx="17">
                <c:v>22</c:v>
              </c:pt>
              <c:pt idx="18">
                <c:v>23</c:v>
              </c:pt>
              <c:pt idx="19">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'2023-24'!$G$7:$G$30</c15:sqref>
                  </c15:fullRef>
                </c:ext>
              </c:extLst>
              <c:f>('2023-24'!$G$7:$G$15,'2023-24'!$G$18:$G$23,'2023-24'!$G$26:$G$30)</c:f>
              <c:numCache>
                <c:formatCode>General</c:formatCode>
                <c:ptCount val="20"/>
                <c:pt idx="0">
                  <c:v>4</c:v>
                </c:pt>
                <c:pt idx="1">
                  <c:v>3</c:v>
                </c:pt>
                <c:pt idx="2">
                  <c:v>1</c:v>
                </c:pt>
                <c:pt idx="3">
                  <c:v>0</c:v>
                </c:pt>
                <c:pt idx="4">
                  <c:v>0</c:v>
                </c:pt>
                <c:pt idx="5">
                  <c:v>0</c:v>
                </c:pt>
                <c:pt idx="6">
                  <c:v>3</c:v>
                </c:pt>
                <c:pt idx="7">
                  <c:v>2</c:v>
                </c:pt>
                <c:pt idx="8">
                  <c:v>2</c:v>
                </c:pt>
                <c:pt idx="9">
                  <c:v>6</c:v>
                </c:pt>
                <c:pt idx="10">
                  <c:v>0</c:v>
                </c:pt>
                <c:pt idx="11">
                  <c:v>0</c:v>
                </c:pt>
                <c:pt idx="12">
                  <c:v>1</c:v>
                </c:pt>
                <c:pt idx="13">
                  <c:v>5</c:v>
                </c:pt>
                <c:pt idx="14">
                  <c:v>2</c:v>
                </c:pt>
                <c:pt idx="15">
                  <c:v>5</c:v>
                </c:pt>
                <c:pt idx="16">
                  <c:v>5</c:v>
                </c:pt>
                <c:pt idx="17">
                  <c:v>3</c:v>
                </c:pt>
                <c:pt idx="18">
                  <c:v>8</c:v>
                </c:pt>
                <c:pt idx="19">
                  <c:v>10</c:v>
                </c:pt>
              </c:numCache>
            </c:numRef>
          </c:val>
          <c:extLst>
            <c:ext xmlns:c16="http://schemas.microsoft.com/office/drawing/2014/chart" uri="{C3380CC4-5D6E-409C-BE32-E72D297353CC}">
              <c16:uniqueId val="{00000001-5B0A-4E09-BF54-47EB3719AF01}"/>
            </c:ext>
          </c:extLst>
        </c:ser>
        <c:dLbls>
          <c:dLblPos val="ctr"/>
          <c:showLegendKey val="0"/>
          <c:showVal val="1"/>
          <c:showCatName val="0"/>
          <c:showSerName val="0"/>
          <c:showPercent val="0"/>
          <c:showBubbleSize val="0"/>
        </c:dLbls>
        <c:gapWidth val="79"/>
        <c:overlap val="100"/>
        <c:axId val="1295084943"/>
        <c:axId val="1295079663"/>
      </c:barChart>
      <c:catAx>
        <c:axId val="12950849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95079663"/>
        <c:crosses val="autoZero"/>
        <c:auto val="1"/>
        <c:lblAlgn val="ctr"/>
        <c:lblOffset val="100"/>
        <c:noMultiLvlLbl val="0"/>
      </c:catAx>
      <c:valAx>
        <c:axId val="1295079663"/>
        <c:scaling>
          <c:orientation val="minMax"/>
        </c:scaling>
        <c:delete val="1"/>
        <c:axPos val="l"/>
        <c:numFmt formatCode="0%" sourceLinked="1"/>
        <c:majorTickMark val="none"/>
        <c:minorTickMark val="none"/>
        <c:tickLblPos val="nextTo"/>
        <c:crossAx val="1295084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Per 90' Analysis (Forwards)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L. Diaz</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'2023-24'!$P$26:$R$26</c:f>
              <c:numCache>
                <c:formatCode>0.0000</c:formatCode>
                <c:ptCount val="3"/>
                <c:pt idx="0">
                  <c:v>8.8888888888888892E-2</c:v>
                </c:pt>
                <c:pt idx="1">
                  <c:v>5.5555555555555552E-2</c:v>
                </c:pt>
                <c:pt idx="2">
                  <c:v>8.8888888888888892E-2</c:v>
                </c:pt>
              </c:numCache>
            </c:numRef>
          </c:val>
          <c:extLst>
            <c:ext xmlns:c16="http://schemas.microsoft.com/office/drawing/2014/chart" uri="{C3380CC4-5D6E-409C-BE32-E72D297353CC}">
              <c16:uniqueId val="{00000000-6DA9-4AB6-AC6D-E270071F6053}"/>
            </c:ext>
          </c:extLst>
        </c:ser>
        <c:ser>
          <c:idx val="1"/>
          <c:order val="1"/>
          <c:tx>
            <c:v>C. Gakpo</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'2023-24'!$P$27:$R$27</c:f>
              <c:numCache>
                <c:formatCode>0.0000</c:formatCode>
                <c:ptCount val="3"/>
                <c:pt idx="0">
                  <c:v>8.8888888888888892E-2</c:v>
                </c:pt>
                <c:pt idx="1">
                  <c:v>5.5555555555555552E-2</c:v>
                </c:pt>
                <c:pt idx="2">
                  <c:v>8.8888888888888892E-2</c:v>
                </c:pt>
              </c:numCache>
            </c:numRef>
          </c:val>
          <c:extLst>
            <c:ext xmlns:c16="http://schemas.microsoft.com/office/drawing/2014/chart" uri="{C3380CC4-5D6E-409C-BE32-E72D297353CC}">
              <c16:uniqueId val="{00000001-6DA9-4AB6-AC6D-E270071F6053}"/>
            </c:ext>
          </c:extLst>
        </c:ser>
        <c:ser>
          <c:idx val="2"/>
          <c:order val="2"/>
          <c:tx>
            <c:v>D. Jota</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'2023-24'!$P$28:$R$28</c:f>
              <c:numCache>
                <c:formatCode>0.0000</c:formatCode>
                <c:ptCount val="3"/>
                <c:pt idx="0">
                  <c:v>0.1111111111111111</c:v>
                </c:pt>
                <c:pt idx="1">
                  <c:v>3.3333333333333333E-2</c:v>
                </c:pt>
                <c:pt idx="2">
                  <c:v>0.1111111111111111</c:v>
                </c:pt>
              </c:numCache>
            </c:numRef>
          </c:val>
          <c:extLst>
            <c:ext xmlns:c16="http://schemas.microsoft.com/office/drawing/2014/chart" uri="{C3380CC4-5D6E-409C-BE32-E72D297353CC}">
              <c16:uniqueId val="{00000002-6DA9-4AB6-AC6D-E270071F6053}"/>
            </c:ext>
          </c:extLst>
        </c:ser>
        <c:ser>
          <c:idx val="3"/>
          <c:order val="3"/>
          <c:tx>
            <c:v>D. Nunez</c:v>
          </c:tx>
          <c:spPr>
            <a:solidFill>
              <a:schemeClr val="accent1">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'2023-24'!$P$29:$R$29</c:f>
              <c:numCache>
                <c:formatCode>0.0000</c:formatCode>
                <c:ptCount val="3"/>
                <c:pt idx="0">
                  <c:v>0.12222222222222222</c:v>
                </c:pt>
                <c:pt idx="1">
                  <c:v>8.8888888888888892E-2</c:v>
                </c:pt>
                <c:pt idx="2">
                  <c:v>0.12222222222222222</c:v>
                </c:pt>
              </c:numCache>
            </c:numRef>
          </c:val>
          <c:extLst>
            <c:ext xmlns:c16="http://schemas.microsoft.com/office/drawing/2014/chart" uri="{C3380CC4-5D6E-409C-BE32-E72D297353CC}">
              <c16:uniqueId val="{00000003-6DA9-4AB6-AC6D-E270071F6053}"/>
            </c:ext>
          </c:extLst>
        </c:ser>
        <c:ser>
          <c:idx val="4"/>
          <c:order val="4"/>
          <c:tx>
            <c:v>M. Salah</c:v>
          </c:tx>
          <c:spPr>
            <a:solidFill>
              <a:schemeClr val="accent3">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'2023-24'!$P$30:$R$30</c:f>
              <c:numCache>
                <c:formatCode>0.0000</c:formatCode>
                <c:ptCount val="3"/>
                <c:pt idx="0">
                  <c:v>0.2</c:v>
                </c:pt>
                <c:pt idx="1">
                  <c:v>0.1111111111111111</c:v>
                </c:pt>
                <c:pt idx="2">
                  <c:v>0.14444444444444443</c:v>
                </c:pt>
              </c:numCache>
            </c:numRef>
          </c:val>
          <c:extLst>
            <c:ext xmlns:c16="http://schemas.microsoft.com/office/drawing/2014/chart" uri="{C3380CC4-5D6E-409C-BE32-E72D297353CC}">
              <c16:uniqueId val="{00000004-6DA9-4AB6-AC6D-E270071F6053}"/>
            </c:ext>
          </c:extLst>
        </c:ser>
        <c:dLbls>
          <c:dLblPos val="outEnd"/>
          <c:showLegendKey val="0"/>
          <c:showVal val="1"/>
          <c:showCatName val="0"/>
          <c:showSerName val="0"/>
          <c:showPercent val="0"/>
          <c:showBubbleSize val="0"/>
        </c:dLbls>
        <c:gapWidth val="444"/>
        <c:overlap val="-90"/>
        <c:axId val="1295203503"/>
        <c:axId val="1295200143"/>
      </c:barChart>
      <c:catAx>
        <c:axId val="1295203503"/>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1295200143"/>
        <c:crosses val="autoZero"/>
        <c:auto val="1"/>
        <c:lblAlgn val="ctr"/>
        <c:lblOffset val="100"/>
        <c:noMultiLvlLbl val="0"/>
      </c:catAx>
      <c:valAx>
        <c:axId val="1295200143"/>
        <c:scaling>
          <c:orientation val="minMax"/>
        </c:scaling>
        <c:delete val="1"/>
        <c:axPos val="l"/>
        <c:numFmt formatCode="0.0000" sourceLinked="1"/>
        <c:majorTickMark val="none"/>
        <c:minorTickMark val="none"/>
        <c:tickLblPos val="nextTo"/>
        <c:crossAx val="1295203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Minutes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2"/>
              <c:pt idx="0">
                <c:v>1</c:v>
              </c:pt>
              <c:pt idx="1">
                <c:v>2</c:v>
              </c:pt>
              <c:pt idx="2">
                <c:v>5</c:v>
              </c:pt>
              <c:pt idx="3">
                <c:v>6</c:v>
              </c:pt>
              <c:pt idx="4">
                <c:v>7</c:v>
              </c:pt>
              <c:pt idx="5">
                <c:v>8</c:v>
              </c:pt>
              <c:pt idx="6">
                <c:v>9</c:v>
              </c:pt>
              <c:pt idx="7">
                <c:v>10</c:v>
              </c:pt>
              <c:pt idx="8">
                <c:v>11</c:v>
              </c:pt>
              <c:pt idx="9">
                <c:v>12</c:v>
              </c:pt>
              <c:pt idx="10">
                <c:v>15</c:v>
              </c:pt>
              <c:pt idx="11">
                <c:v>16</c:v>
              </c:pt>
              <c:pt idx="12">
                <c:v>17</c:v>
              </c:pt>
              <c:pt idx="13">
                <c:v>18</c:v>
              </c:pt>
              <c:pt idx="14">
                <c:v>19</c:v>
              </c:pt>
              <c:pt idx="15">
                <c:v>20</c:v>
              </c:pt>
              <c:pt idx="16">
                <c:v>23</c:v>
              </c:pt>
              <c:pt idx="17">
                <c:v>24</c:v>
              </c:pt>
              <c:pt idx="18">
                <c:v>25</c:v>
              </c:pt>
              <c:pt idx="19">
                <c:v>26</c:v>
              </c:pt>
              <c:pt idx="20">
                <c:v>27</c:v>
              </c:pt>
              <c:pt idx="21">
                <c:v>28</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'2024-25'!$O$3:$O$30</c15:sqref>
                  </c15:fullRef>
                </c:ext>
              </c:extLst>
              <c:f>('2024-25'!$O$3:$O$4,'2024-25'!$O$7:$O$14,'2024-25'!$O$17:$O$22,'2024-25'!$O$25:$O$30)</c:f>
              <c:numCache>
                <c:formatCode>0.000</c:formatCode>
                <c:ptCount val="22"/>
                <c:pt idx="0">
                  <c:v>27.866666666666667</c:v>
                </c:pt>
                <c:pt idx="1">
                  <c:v>10</c:v>
                </c:pt>
                <c:pt idx="2">
                  <c:v>37</c:v>
                </c:pt>
                <c:pt idx="3">
                  <c:v>5.7666666666666666</c:v>
                </c:pt>
                <c:pt idx="4">
                  <c:v>26.277777777777779</c:v>
                </c:pt>
                <c:pt idx="5">
                  <c:v>8.3777777777777782</c:v>
                </c:pt>
                <c:pt idx="6">
                  <c:v>27.577777777777779</c:v>
                </c:pt>
                <c:pt idx="7">
                  <c:v>28.444444444444443</c:v>
                </c:pt>
                <c:pt idx="8">
                  <c:v>5.5</c:v>
                </c:pt>
                <c:pt idx="9">
                  <c:v>9.3000000000000007</c:v>
                </c:pt>
                <c:pt idx="10">
                  <c:v>4.1222222222222218</c:v>
                </c:pt>
                <c:pt idx="11">
                  <c:v>3.0333333333333332</c:v>
                </c:pt>
                <c:pt idx="12">
                  <c:v>35.111111111111114</c:v>
                </c:pt>
                <c:pt idx="13">
                  <c:v>28.877777777777776</c:v>
                </c:pt>
                <c:pt idx="14">
                  <c:v>27.677777777777777</c:v>
                </c:pt>
                <c:pt idx="15">
                  <c:v>19.022222222222222</c:v>
                </c:pt>
                <c:pt idx="16">
                  <c:v>37.455555555555556</c:v>
                </c:pt>
                <c:pt idx="17">
                  <c:v>1.2</c:v>
                </c:pt>
                <c:pt idx="18">
                  <c:v>26.655555555555555</c:v>
                </c:pt>
                <c:pt idx="19">
                  <c:v>21.5</c:v>
                </c:pt>
                <c:pt idx="20">
                  <c:v>13.28888888888889</c:v>
                </c:pt>
                <c:pt idx="21">
                  <c:v>12.588888888888889</c:v>
                </c:pt>
              </c:numCache>
            </c:numRef>
          </c:val>
          <c:extLst>
            <c:ext xmlns:c16="http://schemas.microsoft.com/office/drawing/2014/chart" uri="{C3380CC4-5D6E-409C-BE32-E72D297353CC}">
              <c16:uniqueId val="{00000000-6862-46EF-A7DA-54A893FEB8C6}"/>
            </c:ext>
          </c:extLst>
        </c:ser>
        <c:dLbls>
          <c:dLblPos val="outEnd"/>
          <c:showLegendKey val="0"/>
          <c:showVal val="1"/>
          <c:showCatName val="0"/>
          <c:showSerName val="0"/>
          <c:showPercent val="0"/>
          <c:showBubbleSize val="0"/>
        </c:dLbls>
        <c:gapWidth val="444"/>
        <c:overlap val="-90"/>
        <c:axId val="881176495"/>
        <c:axId val="881193295"/>
      </c:barChart>
      <c:catAx>
        <c:axId val="88117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1193295"/>
        <c:crosses val="autoZero"/>
        <c:auto val="1"/>
        <c:lblAlgn val="ctr"/>
        <c:lblOffset val="100"/>
        <c:noMultiLvlLbl val="0"/>
      </c:catAx>
      <c:valAx>
        <c:axId val="881193295"/>
        <c:scaling>
          <c:orientation val="minMax"/>
        </c:scaling>
        <c:delete val="1"/>
        <c:axPos val="l"/>
        <c:numFmt formatCode="0.000" sourceLinked="1"/>
        <c:majorTickMark val="none"/>
        <c:minorTickMark val="none"/>
        <c:tickLblPos val="nextTo"/>
        <c:crossAx val="88117649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v>G</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0"/>
              <c:pt idx="0">
                <c:v>1</c:v>
              </c:pt>
              <c:pt idx="1">
                <c:v>2</c:v>
              </c:pt>
              <c:pt idx="2">
                <c:v>3</c:v>
              </c:pt>
              <c:pt idx="3">
                <c:v>4</c:v>
              </c:pt>
              <c:pt idx="4">
                <c:v>5</c:v>
              </c:pt>
              <c:pt idx="5">
                <c:v>6</c:v>
              </c:pt>
              <c:pt idx="6">
                <c:v>7</c:v>
              </c:pt>
              <c:pt idx="7">
                <c:v>8</c:v>
              </c:pt>
              <c:pt idx="8">
                <c:v>11</c:v>
              </c:pt>
              <c:pt idx="9">
                <c:v>12</c:v>
              </c:pt>
              <c:pt idx="10">
                <c:v>13</c:v>
              </c:pt>
              <c:pt idx="11">
                <c:v>14</c:v>
              </c:pt>
              <c:pt idx="12">
                <c:v>15</c:v>
              </c:pt>
              <c:pt idx="13">
                <c:v>16</c:v>
              </c:pt>
              <c:pt idx="14">
                <c:v>19</c:v>
              </c:pt>
              <c:pt idx="15">
                <c:v>20</c:v>
              </c:pt>
              <c:pt idx="16">
                <c:v>21</c:v>
              </c:pt>
              <c:pt idx="17">
                <c:v>22</c:v>
              </c:pt>
              <c:pt idx="18">
                <c:v>23</c:v>
              </c:pt>
              <c:pt idx="19">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'2024-25'!$F$7:$F$30</c15:sqref>
                  </c15:fullRef>
                </c:ext>
              </c:extLst>
              <c:f>('2024-25'!$F$7:$F$14,'2024-25'!$F$17:$F$22,'2024-25'!$F$25:$F$30)</c:f>
              <c:numCache>
                <c:formatCode>General</c:formatCode>
                <c:ptCount val="20"/>
                <c:pt idx="0">
                  <c:v>3</c:v>
                </c:pt>
                <c:pt idx="1">
                  <c:v>0</c:v>
                </c:pt>
                <c:pt idx="2">
                  <c:v>3</c:v>
                </c:pt>
                <c:pt idx="3">
                  <c:v>0</c:v>
                </c:pt>
                <c:pt idx="4">
                  <c:v>0</c:v>
                </c:pt>
                <c:pt idx="5">
                  <c:v>1</c:v>
                </c:pt>
                <c:pt idx="6">
                  <c:v>0</c:v>
                </c:pt>
                <c:pt idx="7">
                  <c:v>0</c:v>
                </c:pt>
                <c:pt idx="8">
                  <c:v>1</c:v>
                </c:pt>
                <c:pt idx="9">
                  <c:v>0</c:v>
                </c:pt>
                <c:pt idx="10">
                  <c:v>0</c:v>
                </c:pt>
                <c:pt idx="11">
                  <c:v>5</c:v>
                </c:pt>
                <c:pt idx="12">
                  <c:v>6</c:v>
                </c:pt>
                <c:pt idx="13">
                  <c:v>3</c:v>
                </c:pt>
                <c:pt idx="14">
                  <c:v>29</c:v>
                </c:pt>
                <c:pt idx="15">
                  <c:v>0</c:v>
                </c:pt>
                <c:pt idx="16">
                  <c:v>13</c:v>
                </c:pt>
                <c:pt idx="17">
                  <c:v>10</c:v>
                </c:pt>
                <c:pt idx="18">
                  <c:v>6</c:v>
                </c:pt>
                <c:pt idx="19">
                  <c:v>5</c:v>
                </c:pt>
              </c:numCache>
            </c:numRef>
          </c:val>
          <c:extLst>
            <c:ext xmlns:c16="http://schemas.microsoft.com/office/drawing/2014/chart" uri="{C3380CC4-5D6E-409C-BE32-E72D297353CC}">
              <c16:uniqueId val="{00000000-0CB9-4E32-BD5D-A7C4C7CA831F}"/>
            </c:ext>
          </c:extLst>
        </c:ser>
        <c:ser>
          <c:idx val="1"/>
          <c:order val="1"/>
          <c:tx>
            <c:v>A</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20"/>
              <c:pt idx="0">
                <c:v>1</c:v>
              </c:pt>
              <c:pt idx="1">
                <c:v>2</c:v>
              </c:pt>
              <c:pt idx="2">
                <c:v>3</c:v>
              </c:pt>
              <c:pt idx="3">
                <c:v>4</c:v>
              </c:pt>
              <c:pt idx="4">
                <c:v>5</c:v>
              </c:pt>
              <c:pt idx="5">
                <c:v>6</c:v>
              </c:pt>
              <c:pt idx="6">
                <c:v>7</c:v>
              </c:pt>
              <c:pt idx="7">
                <c:v>8</c:v>
              </c:pt>
              <c:pt idx="8">
                <c:v>11</c:v>
              </c:pt>
              <c:pt idx="9">
                <c:v>12</c:v>
              </c:pt>
              <c:pt idx="10">
                <c:v>13</c:v>
              </c:pt>
              <c:pt idx="11">
                <c:v>14</c:v>
              </c:pt>
              <c:pt idx="12">
                <c:v>15</c:v>
              </c:pt>
              <c:pt idx="13">
                <c:v>16</c:v>
              </c:pt>
              <c:pt idx="14">
                <c:v>19</c:v>
              </c:pt>
              <c:pt idx="15">
                <c:v>20</c:v>
              </c:pt>
              <c:pt idx="16">
                <c:v>21</c:v>
              </c:pt>
              <c:pt idx="17">
                <c:v>22</c:v>
              </c:pt>
              <c:pt idx="18">
                <c:v>23</c:v>
              </c:pt>
              <c:pt idx="19">
                <c:v>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'2024-25'!$G$7:$G$30</c15:sqref>
                  </c15:fullRef>
                </c:ext>
              </c:extLst>
              <c:f>('2024-25'!$G$7:$G$14,'2024-25'!$G$17:$G$22,'2024-25'!$G$25:$G$30)</c:f>
              <c:numCache>
                <c:formatCode>General</c:formatCode>
                <c:ptCount val="20"/>
                <c:pt idx="0">
                  <c:v>1</c:v>
                </c:pt>
                <c:pt idx="1">
                  <c:v>0</c:v>
                </c:pt>
                <c:pt idx="2">
                  <c:v>6</c:v>
                </c:pt>
                <c:pt idx="3">
                  <c:v>2</c:v>
                </c:pt>
                <c:pt idx="4">
                  <c:v>1</c:v>
                </c:pt>
                <c:pt idx="5">
                  <c:v>2</c:v>
                </c:pt>
                <c:pt idx="6">
                  <c:v>0</c:v>
                </c:pt>
                <c:pt idx="7">
                  <c:v>1</c:v>
                </c:pt>
                <c:pt idx="8">
                  <c:v>2</c:v>
                </c:pt>
                <c:pt idx="9">
                  <c:v>0</c:v>
                </c:pt>
                <c:pt idx="10">
                  <c:v>4</c:v>
                </c:pt>
                <c:pt idx="11">
                  <c:v>5</c:v>
                </c:pt>
                <c:pt idx="12">
                  <c:v>6</c:v>
                </c:pt>
                <c:pt idx="13">
                  <c:v>3</c:v>
                </c:pt>
                <c:pt idx="14">
                  <c:v>18</c:v>
                </c:pt>
                <c:pt idx="15">
                  <c:v>0</c:v>
                </c:pt>
                <c:pt idx="16">
                  <c:v>5</c:v>
                </c:pt>
                <c:pt idx="17">
                  <c:v>4</c:v>
                </c:pt>
                <c:pt idx="18">
                  <c:v>3</c:v>
                </c:pt>
                <c:pt idx="19">
                  <c:v>2</c:v>
                </c:pt>
              </c:numCache>
            </c:numRef>
          </c:val>
          <c:extLst>
            <c:ext xmlns:c16="http://schemas.microsoft.com/office/drawing/2014/chart" uri="{C3380CC4-5D6E-409C-BE32-E72D297353CC}">
              <c16:uniqueId val="{00000001-0CB9-4E32-BD5D-A7C4C7CA831F}"/>
            </c:ext>
          </c:extLst>
        </c:ser>
        <c:dLbls>
          <c:dLblPos val="ctr"/>
          <c:showLegendKey val="0"/>
          <c:showVal val="1"/>
          <c:showCatName val="0"/>
          <c:showSerName val="0"/>
          <c:showPercent val="0"/>
          <c:showBubbleSize val="0"/>
        </c:dLbls>
        <c:gapWidth val="79"/>
        <c:overlap val="100"/>
        <c:axId val="1261263455"/>
        <c:axId val="1261280255"/>
      </c:barChart>
      <c:catAx>
        <c:axId val="1261263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61280255"/>
        <c:crosses val="autoZero"/>
        <c:auto val="1"/>
        <c:lblAlgn val="ctr"/>
        <c:lblOffset val="100"/>
        <c:noMultiLvlLbl val="0"/>
      </c:catAx>
      <c:valAx>
        <c:axId val="1261280255"/>
        <c:scaling>
          <c:orientation val="minMax"/>
        </c:scaling>
        <c:delete val="1"/>
        <c:axPos val="l"/>
        <c:numFmt formatCode="0%" sourceLinked="1"/>
        <c:majorTickMark val="none"/>
        <c:minorTickMark val="none"/>
        <c:tickLblPos val="nextTo"/>
        <c:crossAx val="126126345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IN" sz="1200"/>
              <a:t>Interdepartmental</a:t>
            </a:r>
            <a:r>
              <a:rPr lang="en-IN" sz="1200" baseline="0"/>
              <a:t> comparison </a:t>
            </a:r>
          </a:p>
          <a:p>
            <a:pPr>
              <a:defRPr sz="1200"/>
            </a:pPr>
            <a:r>
              <a:rPr lang="en-IN" sz="1200" baseline="0"/>
              <a:t>(g v a/90)</a:t>
            </a:r>
            <a:endParaRPr lang="en-IN" sz="1200"/>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G/90</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('2024-25'!$P$15,'2024-25'!$P$23,'2024-25'!$P$31)</c:f>
              <c:numCache>
                <c:formatCode>0.000</c:formatCode>
                <c:ptCount val="3"/>
                <c:pt idx="0">
                  <c:v>7.7777777777777779E-2</c:v>
                </c:pt>
                <c:pt idx="1">
                  <c:v>0.16666666666666666</c:v>
                </c:pt>
                <c:pt idx="2">
                  <c:v>0.7</c:v>
                </c:pt>
              </c:numCache>
            </c:numRef>
          </c:val>
          <c:extLst>
            <c:ext xmlns:c16="http://schemas.microsoft.com/office/drawing/2014/chart" uri="{C3380CC4-5D6E-409C-BE32-E72D297353CC}">
              <c16:uniqueId val="{00000000-2246-460C-A7F5-13E789818D0B}"/>
            </c:ext>
          </c:extLst>
        </c:ser>
        <c:ser>
          <c:idx val="1"/>
          <c:order val="1"/>
          <c:tx>
            <c:v>A/90</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('2024-25'!$Q$15,'2024-25'!$Q$23,'2024-25'!$Q$31)</c:f>
              <c:numCache>
                <c:formatCode>0.000</c:formatCode>
                <c:ptCount val="3"/>
                <c:pt idx="0">
                  <c:v>0.14444444444444443</c:v>
                </c:pt>
                <c:pt idx="1">
                  <c:v>0.22222222222222221</c:v>
                </c:pt>
                <c:pt idx="2">
                  <c:v>0.35555555555555551</c:v>
                </c:pt>
              </c:numCache>
            </c:numRef>
          </c:val>
          <c:extLst>
            <c:ext xmlns:c16="http://schemas.microsoft.com/office/drawing/2014/chart" uri="{C3380CC4-5D6E-409C-BE32-E72D297353CC}">
              <c16:uniqueId val="{00000001-2246-460C-A7F5-13E789818D0B}"/>
            </c:ext>
          </c:extLst>
        </c:ser>
        <c:dLbls>
          <c:dLblPos val="outEnd"/>
          <c:showLegendKey val="0"/>
          <c:showVal val="1"/>
          <c:showCatName val="0"/>
          <c:showSerName val="0"/>
          <c:showPercent val="0"/>
          <c:showBubbleSize val="0"/>
        </c:dLbls>
        <c:gapWidth val="444"/>
        <c:overlap val="-90"/>
        <c:axId val="831285023"/>
        <c:axId val="831285503"/>
      </c:barChart>
      <c:catAx>
        <c:axId val="831285023"/>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831285503"/>
        <c:crosses val="autoZero"/>
        <c:auto val="1"/>
        <c:lblAlgn val="ctr"/>
        <c:lblOffset val="100"/>
        <c:noMultiLvlLbl val="0"/>
      </c:catAx>
      <c:valAx>
        <c:axId val="831285503"/>
        <c:scaling>
          <c:orientation val="minMax"/>
        </c:scaling>
        <c:delete val="1"/>
        <c:axPos val="l"/>
        <c:numFmt formatCode="0.000" sourceLinked="1"/>
        <c:majorTickMark val="none"/>
        <c:minorTickMark val="none"/>
        <c:tickLblPos val="nextTo"/>
        <c:crossAx val="8312850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Per 90' analysis</a:t>
            </a:r>
            <a:r>
              <a:rPr lang="en-IN" baseline="0"/>
              <a:t> (forwards)</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M. Salah</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'2024-25'!$P$25:$R$25</c:f>
              <c:numCache>
                <c:formatCode>0.0000</c:formatCode>
                <c:ptCount val="3"/>
                <c:pt idx="0" formatCode="0.000">
                  <c:v>0.32222222222222224</c:v>
                </c:pt>
                <c:pt idx="1">
                  <c:v>0.2</c:v>
                </c:pt>
                <c:pt idx="2" formatCode="General">
                  <c:v>0.22222222222222221</c:v>
                </c:pt>
              </c:numCache>
            </c:numRef>
          </c:val>
          <c:extLst>
            <c:ext xmlns:c16="http://schemas.microsoft.com/office/drawing/2014/chart" uri="{C3380CC4-5D6E-409C-BE32-E72D297353CC}">
              <c16:uniqueId val="{00000000-5077-4878-A47D-13B9E6EDFA72}"/>
            </c:ext>
          </c:extLst>
        </c:ser>
        <c:ser>
          <c:idx val="1"/>
          <c:order val="1"/>
          <c:tx>
            <c:v>L. Diaz</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'2024-25'!$P$27:$R$27</c:f>
              <c:numCache>
                <c:formatCode>0.0000</c:formatCode>
                <c:ptCount val="3"/>
                <c:pt idx="0" formatCode="0.000">
                  <c:v>0.14444444444444443</c:v>
                </c:pt>
                <c:pt idx="1">
                  <c:v>5.5555555555555552E-2</c:v>
                </c:pt>
                <c:pt idx="2" formatCode="General">
                  <c:v>0.14444444444444443</c:v>
                </c:pt>
              </c:numCache>
            </c:numRef>
          </c:val>
          <c:extLst>
            <c:ext xmlns:c16="http://schemas.microsoft.com/office/drawing/2014/chart" uri="{C3380CC4-5D6E-409C-BE32-E72D297353CC}">
              <c16:uniqueId val="{00000001-5077-4878-A47D-13B9E6EDFA72}"/>
            </c:ext>
          </c:extLst>
        </c:ser>
        <c:ser>
          <c:idx val="2"/>
          <c:order val="2"/>
          <c:tx>
            <c:v>C. Gakpo</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'2024-25'!$P$28:$R$28</c:f>
              <c:numCache>
                <c:formatCode>0.0000</c:formatCode>
                <c:ptCount val="3"/>
                <c:pt idx="0" formatCode="0.000">
                  <c:v>0.1111111111111111</c:v>
                </c:pt>
                <c:pt idx="1">
                  <c:v>4.4444444444444446E-2</c:v>
                </c:pt>
                <c:pt idx="2" formatCode="General">
                  <c:v>0.1111111111111111</c:v>
                </c:pt>
              </c:numCache>
            </c:numRef>
          </c:val>
          <c:extLst>
            <c:ext xmlns:c16="http://schemas.microsoft.com/office/drawing/2014/chart" uri="{C3380CC4-5D6E-409C-BE32-E72D297353CC}">
              <c16:uniqueId val="{00000002-5077-4878-A47D-13B9E6EDFA72}"/>
            </c:ext>
          </c:extLst>
        </c:ser>
        <c:ser>
          <c:idx val="3"/>
          <c:order val="3"/>
          <c:tx>
            <c:v>D. Jota</c:v>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'2024-25'!$P$29:$R$29</c:f>
              <c:numCache>
                <c:formatCode>0.0000</c:formatCode>
                <c:ptCount val="3"/>
                <c:pt idx="0" formatCode="0.000">
                  <c:v>6.6666666666666666E-2</c:v>
                </c:pt>
                <c:pt idx="1">
                  <c:v>3.3333333333333333E-2</c:v>
                </c:pt>
                <c:pt idx="2" formatCode="General">
                  <c:v>6.6666666666666666E-2</c:v>
                </c:pt>
              </c:numCache>
            </c:numRef>
          </c:val>
          <c:extLst>
            <c:ext xmlns:c16="http://schemas.microsoft.com/office/drawing/2014/chart" uri="{C3380CC4-5D6E-409C-BE32-E72D297353CC}">
              <c16:uniqueId val="{00000003-5077-4878-A47D-13B9E6EDFA72}"/>
            </c:ext>
          </c:extLst>
        </c:ser>
        <c:ser>
          <c:idx val="4"/>
          <c:order val="4"/>
          <c:tx>
            <c:v>D. Nunez</c:v>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'2024-25'!$P$30:$R$30</c:f>
              <c:numCache>
                <c:formatCode>0.0000</c:formatCode>
                <c:ptCount val="3"/>
                <c:pt idx="0" formatCode="0.000">
                  <c:v>5.5555555555555552E-2</c:v>
                </c:pt>
                <c:pt idx="1">
                  <c:v>2.2222222222222223E-2</c:v>
                </c:pt>
                <c:pt idx="2" formatCode="General">
                  <c:v>5.5555555555555552E-2</c:v>
                </c:pt>
              </c:numCache>
            </c:numRef>
          </c:val>
          <c:extLst>
            <c:ext xmlns:c16="http://schemas.microsoft.com/office/drawing/2014/chart" uri="{C3380CC4-5D6E-409C-BE32-E72D297353CC}">
              <c16:uniqueId val="{00000004-5077-4878-A47D-13B9E6EDFA72}"/>
            </c:ext>
          </c:extLst>
        </c:ser>
        <c:dLbls>
          <c:dLblPos val="outEnd"/>
          <c:showLegendKey val="0"/>
          <c:showVal val="1"/>
          <c:showCatName val="0"/>
          <c:showSerName val="0"/>
          <c:showPercent val="0"/>
          <c:showBubbleSize val="0"/>
        </c:dLbls>
        <c:gapWidth val="444"/>
        <c:overlap val="-90"/>
        <c:axId val="1261236575"/>
        <c:axId val="1261245215"/>
      </c:barChart>
      <c:catAx>
        <c:axId val="12612365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61245215"/>
        <c:crosses val="autoZero"/>
        <c:auto val="1"/>
        <c:lblAlgn val="ctr"/>
        <c:lblOffset val="100"/>
        <c:noMultiLvlLbl val="0"/>
      </c:catAx>
      <c:valAx>
        <c:axId val="1261245215"/>
        <c:scaling>
          <c:orientation val="minMax"/>
        </c:scaling>
        <c:delete val="1"/>
        <c:axPos val="l"/>
        <c:numFmt formatCode="0.000" sourceLinked="1"/>
        <c:majorTickMark val="none"/>
        <c:minorTickMark val="none"/>
        <c:tickLblPos val="nextTo"/>
        <c:crossAx val="12612365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18/19 Interdepartmental Goals Scored Tally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17-4514-8FF7-03405726BC5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17-4514-8FF7-03405726BC5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E17-4514-8FF7-03405726BC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'18-19 v 19-20'!$B$10:$B$12</c:f>
              <c:strCache>
                <c:ptCount val="3"/>
                <c:pt idx="0">
                  <c:v>Defense G</c:v>
                </c:pt>
                <c:pt idx="1">
                  <c:v>Midfield G</c:v>
                </c:pt>
                <c:pt idx="2">
                  <c:v>Forwards G</c:v>
                </c:pt>
              </c:strCache>
            </c:strRef>
          </c:cat>
          <c:val>
            <c:numRef>
              <c:f>'18-19 v 19-20'!$C$10:$C$12</c:f>
              <c:numCache>
                <c:formatCode>General</c:formatCode>
                <c:ptCount val="3"/>
                <c:pt idx="0">
                  <c:v>7</c:v>
                </c:pt>
                <c:pt idx="1">
                  <c:v>18</c:v>
                </c:pt>
                <c:pt idx="2">
                  <c:v>61</c:v>
                </c:pt>
              </c:numCache>
            </c:numRef>
          </c:val>
          <c:extLst>
            <c:ext xmlns:c16="http://schemas.microsoft.com/office/drawing/2014/chart" uri="{C3380CC4-5D6E-409C-BE32-E72D297353CC}">
              <c16:uniqueId val="{00000000-E4A4-47BB-88AE-FE7BC31E9F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18/19 Interdepartmental Assists Tally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61A-426C-9A86-4CBA098FF96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61A-426C-9A86-4CBA098FF96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61A-426C-9A86-4CBA098FF9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'18-19 v 19-20'!$B$14:$B$16</c:f>
              <c:strCache>
                <c:ptCount val="3"/>
                <c:pt idx="0">
                  <c:v>Defense A</c:v>
                </c:pt>
                <c:pt idx="1">
                  <c:v>Midfield A</c:v>
                </c:pt>
                <c:pt idx="2">
                  <c:v>Forwards A</c:v>
                </c:pt>
              </c:strCache>
            </c:strRef>
          </c:cat>
          <c:val>
            <c:numRef>
              <c:f>'18-19 v 19-20'!$C$14:$C$16</c:f>
              <c:numCache>
                <c:formatCode>General</c:formatCode>
                <c:ptCount val="3"/>
                <c:pt idx="0">
                  <c:v>25</c:v>
                </c:pt>
                <c:pt idx="1">
                  <c:v>13</c:v>
                </c:pt>
                <c:pt idx="2">
                  <c:v>17</c:v>
                </c:pt>
              </c:numCache>
            </c:numRef>
          </c:val>
          <c:extLst>
            <c:ext xmlns:c16="http://schemas.microsoft.com/office/drawing/2014/chart" uri="{C3380CC4-5D6E-409C-BE32-E72D297353CC}">
              <c16:uniqueId val="{00000000-E5B5-45BA-8637-DD1BB55CF33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19/20 interdepartemental assists tally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1E7-4F33-9725-8740F33FC8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1E7-4F33-9725-8740F33FC8E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E7-4F33-9725-8740F33FC8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'18-19 v 19-20'!$B$14:$B$16</c:f>
              <c:strCache>
                <c:ptCount val="3"/>
                <c:pt idx="0">
                  <c:v>Defense A</c:v>
                </c:pt>
                <c:pt idx="1">
                  <c:v>Midfield A</c:v>
                </c:pt>
                <c:pt idx="2">
                  <c:v>Forwards A</c:v>
                </c:pt>
              </c:strCache>
            </c:strRef>
          </c:cat>
          <c:val>
            <c:numRef>
              <c:f>'18-19 v 19-20'!$D$14:$D$16</c:f>
              <c:numCache>
                <c:formatCode>General</c:formatCode>
                <c:ptCount val="3"/>
                <c:pt idx="0">
                  <c:v>27</c:v>
                </c:pt>
                <c:pt idx="1">
                  <c:v>15</c:v>
                </c:pt>
                <c:pt idx="2">
                  <c:v>26</c:v>
                </c:pt>
              </c:numCache>
            </c:numRef>
          </c:val>
          <c:extLst>
            <c:ext xmlns:c16="http://schemas.microsoft.com/office/drawing/2014/chart" uri="{C3380CC4-5D6E-409C-BE32-E72D297353CC}">
              <c16:uniqueId val="{00000000-DB04-424D-96E8-C7900F8DB5C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19/20 interdepartmental goals tally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202-4620-9049-56086299DBA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202-4620-9049-56086299DBA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202-4620-9049-56086299DB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'18-19 v 19-20'!$B$10:$B$12</c:f>
              <c:strCache>
                <c:ptCount val="3"/>
                <c:pt idx="0">
                  <c:v>Defense G</c:v>
                </c:pt>
                <c:pt idx="1">
                  <c:v>Midfield G</c:v>
                </c:pt>
                <c:pt idx="2">
                  <c:v>Forwards G</c:v>
                </c:pt>
              </c:strCache>
            </c:strRef>
          </c:cat>
          <c:val>
            <c:numRef>
              <c:f>'18-19 v 19-20'!$D$10:$D$12</c:f>
              <c:numCache>
                <c:formatCode>General</c:formatCode>
                <c:ptCount val="3"/>
                <c:pt idx="0">
                  <c:v>12</c:v>
                </c:pt>
                <c:pt idx="1">
                  <c:v>21</c:v>
                </c:pt>
                <c:pt idx="2">
                  <c:v>50</c:v>
                </c:pt>
              </c:numCache>
            </c:numRef>
          </c:val>
          <c:extLst>
            <c:ext xmlns:c16="http://schemas.microsoft.com/office/drawing/2014/chart" uri="{C3380CC4-5D6E-409C-BE32-E72D297353CC}">
              <c16:uniqueId val="{00000000-82D8-41EB-86CB-AA93A6BE37D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Goals scored by department 23/24</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6F-4030-92FD-35B94C9C789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6F-4030-92FD-35B94C9C789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36F-4030-92FD-35B94C9C78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'23-24 v 24-25'!$B$10:$B$12</c:f>
              <c:strCache>
                <c:ptCount val="3"/>
                <c:pt idx="0">
                  <c:v>Defense G</c:v>
                </c:pt>
                <c:pt idx="1">
                  <c:v>Midfield G</c:v>
                </c:pt>
                <c:pt idx="2">
                  <c:v>Forwards G</c:v>
                </c:pt>
              </c:strCache>
            </c:strRef>
          </c:cat>
          <c:val>
            <c:numRef>
              <c:f>'23-24 v 24-25'!$C$10:$C$12</c:f>
              <c:numCache>
                <c:formatCode>General</c:formatCode>
                <c:ptCount val="3"/>
                <c:pt idx="0">
                  <c:v>11</c:v>
                </c:pt>
                <c:pt idx="1">
                  <c:v>14</c:v>
                </c:pt>
                <c:pt idx="2">
                  <c:v>55</c:v>
                </c:pt>
              </c:numCache>
            </c:numRef>
          </c:val>
          <c:extLst>
            <c:ext xmlns:c16="http://schemas.microsoft.com/office/drawing/2014/chart" uri="{C3380CC4-5D6E-409C-BE32-E72D297353CC}">
              <c16:uniqueId val="{00000000-01F2-45CB-A179-5509BCBEAC6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Assists by department 23/24</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F6-428B-81A0-C4FF4B45345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F6-428B-81A0-C4FF4B45345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FF6-428B-81A0-C4FF4B4534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'23-24 v 24-25'!$B$14:$B$16</c:f>
              <c:strCache>
                <c:ptCount val="3"/>
                <c:pt idx="0">
                  <c:v>Defense A</c:v>
                </c:pt>
                <c:pt idx="1">
                  <c:v>Midfield A</c:v>
                </c:pt>
                <c:pt idx="2">
                  <c:v>Forwards A</c:v>
                </c:pt>
              </c:strCache>
            </c:strRef>
          </c:cat>
          <c:val>
            <c:numRef>
              <c:f>'23-24 v 24-25'!$C$14:$C$16</c:f>
              <c:numCache>
                <c:formatCode>General</c:formatCode>
                <c:ptCount val="3"/>
                <c:pt idx="0">
                  <c:v>15</c:v>
                </c:pt>
                <c:pt idx="1">
                  <c:v>14</c:v>
                </c:pt>
                <c:pt idx="2">
                  <c:v>31</c:v>
                </c:pt>
              </c:numCache>
            </c:numRef>
          </c:val>
          <c:extLst>
            <c:ext xmlns:c16="http://schemas.microsoft.com/office/drawing/2014/chart" uri="{C3380CC4-5D6E-409C-BE32-E72D297353CC}">
              <c16:uniqueId val="{00000000-605C-46A8-B43F-B34F944AFE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Goals scored by department 24/25</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E05-4C38-A244-A462D4190DE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E05-4C38-A244-A462D4190DE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E05-4C38-A244-A462D4190D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'23-24 v 24-25'!$B$10:$B$12</c:f>
              <c:strCache>
                <c:ptCount val="3"/>
                <c:pt idx="0">
                  <c:v>Defense G</c:v>
                </c:pt>
                <c:pt idx="1">
                  <c:v>Midfield G</c:v>
                </c:pt>
                <c:pt idx="2">
                  <c:v>Forwards G</c:v>
                </c:pt>
              </c:strCache>
            </c:strRef>
          </c:cat>
          <c:val>
            <c:numRef>
              <c:f>'23-24 v 24-25'!$D$10:$D$12</c:f>
              <c:numCache>
                <c:formatCode>General</c:formatCode>
                <c:ptCount val="3"/>
                <c:pt idx="0">
                  <c:v>7</c:v>
                </c:pt>
                <c:pt idx="1">
                  <c:v>15</c:v>
                </c:pt>
                <c:pt idx="2">
                  <c:v>63</c:v>
                </c:pt>
              </c:numCache>
            </c:numRef>
          </c:val>
          <c:extLst>
            <c:ext xmlns:c16="http://schemas.microsoft.com/office/drawing/2014/chart" uri="{C3380CC4-5D6E-409C-BE32-E72D297353CC}">
              <c16:uniqueId val="{00000000-39AB-4F9D-A9E6-82C515D74F5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Assists</a:t>
            </a:r>
            <a:r>
              <a:rPr lang="en-IN" baseline="0"/>
              <a:t> by department 24/25</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A40-48B4-9613-F7B668DDF91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A40-48B4-9613-F7B668DDF91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A40-48B4-9613-F7B668DDF9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'23-24 v 24-25'!$B$14:$B$16</c:f>
              <c:strCache>
                <c:ptCount val="3"/>
                <c:pt idx="0">
                  <c:v>Defense A</c:v>
                </c:pt>
                <c:pt idx="1">
                  <c:v>Midfield A</c:v>
                </c:pt>
                <c:pt idx="2">
                  <c:v>Forwards A</c:v>
                </c:pt>
              </c:strCache>
            </c:strRef>
          </c:cat>
          <c:val>
            <c:numRef>
              <c:f>'23-24 v 24-25'!$D$14:$D$16</c:f>
              <c:numCache>
                <c:formatCode>General</c:formatCode>
                <c:ptCount val="3"/>
                <c:pt idx="0">
                  <c:v>13</c:v>
                </c:pt>
                <c:pt idx="1">
                  <c:v>20</c:v>
                </c:pt>
                <c:pt idx="2">
                  <c:v>32</c:v>
                </c:pt>
              </c:numCache>
            </c:numRef>
          </c:val>
          <c:extLst>
            <c:ext xmlns:c16="http://schemas.microsoft.com/office/drawing/2014/chart" uri="{C3380CC4-5D6E-409C-BE32-E72D297353CC}">
              <c16:uniqueId val="{00000000-E142-4601-9DA5-6E9CD43BD35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G+A/90'(18/19)</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'18-19 v 23-24'!$F$3</c:f>
              <c:strCache>
                <c:ptCount val="1"/>
                <c:pt idx="0">
                  <c:v>G+A/90'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'18-19 v 23-24'!$A$4:$A$14</c:f>
              <c:strCache>
                <c:ptCount val="11"/>
                <c:pt idx="0">
                  <c:v>Virgil Van Dijk</c:v>
                </c:pt>
                <c:pt idx="1">
                  <c:v>Trent Alexander-Arnold</c:v>
                </c:pt>
                <c:pt idx="2">
                  <c:v>Joel Matip</c:v>
                </c:pt>
                <c:pt idx="3">
                  <c:v>Andrew Robertson</c:v>
                </c:pt>
                <c:pt idx="4">
                  <c:v>Geoginio Wijnaldum</c:v>
                </c:pt>
                <c:pt idx="5">
                  <c:v>James Milner</c:v>
                </c:pt>
                <c:pt idx="6">
                  <c:v>Jordan Henderson</c:v>
                </c:pt>
                <c:pt idx="7">
                  <c:v>Fabinho</c:v>
                </c:pt>
                <c:pt idx="8">
                  <c:v>Mohamed Salah</c:v>
                </c:pt>
                <c:pt idx="9">
                  <c:v>Roberto Firmino</c:v>
                </c:pt>
                <c:pt idx="10">
                  <c:v>Sadio Mane</c:v>
                </c:pt>
              </c:strCache>
            </c:strRef>
          </c:cat>
          <c:val>
            <c:numRef>
              <c:f>'18-19 v 23-24'!$F$4:$F$14</c:f>
              <c:numCache>
                <c:formatCode>0.000</c:formatCode>
                <c:ptCount val="11"/>
                <c:pt idx="0">
                  <c:v>6.6666666666666666E-2</c:v>
                </c:pt>
                <c:pt idx="1">
                  <c:v>0.14444444444444443</c:v>
                </c:pt>
                <c:pt idx="2">
                  <c:v>1.1111111111111112E-2</c:v>
                </c:pt>
                <c:pt idx="3">
                  <c:v>0.12222222222222222</c:v>
                </c:pt>
                <c:pt idx="4">
                  <c:v>3.3333333333333333E-2</c:v>
                </c:pt>
                <c:pt idx="5">
                  <c:v>0.1</c:v>
                </c:pt>
                <c:pt idx="6">
                  <c:v>4.4444444444444446E-2</c:v>
                </c:pt>
                <c:pt idx="7">
                  <c:v>3.3333333333333333E-2</c:v>
                </c:pt>
                <c:pt idx="8">
                  <c:v>0.33333333333333331</c:v>
                </c:pt>
                <c:pt idx="9">
                  <c:v>0.2</c:v>
                </c:pt>
                <c:pt idx="10">
                  <c:v>0.25555555555555554</c:v>
                </c:pt>
              </c:numCache>
            </c:numRef>
          </c:val>
          <c:extLst>
            <c:ext xmlns:c16="http://schemas.microsoft.com/office/drawing/2014/chart" uri="{C3380CC4-5D6E-409C-BE32-E72D297353CC}">
              <c16:uniqueId val="{00000000-549D-4243-BB06-1D2D947C8158}"/>
            </c:ext>
          </c:extLst>
        </c:ser>
        <c:dLbls>
          <c:dLblPos val="outEnd"/>
          <c:showLegendKey val="0"/>
          <c:showVal val="1"/>
          <c:showCatName val="0"/>
          <c:showSerName val="0"/>
          <c:showPercent val="0"/>
          <c:showBubbleSize val="0"/>
        </c:dLbls>
        <c:gapWidth val="444"/>
        <c:overlap val="-90"/>
        <c:axId val="1752523456"/>
        <c:axId val="1752534976"/>
      </c:barChart>
      <c:catAx>
        <c:axId val="175252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52534976"/>
        <c:crosses val="autoZero"/>
        <c:auto val="1"/>
        <c:lblAlgn val="ctr"/>
        <c:lblOffset val="100"/>
        <c:noMultiLvlLbl val="0"/>
      </c:catAx>
      <c:valAx>
        <c:axId val="1752534976"/>
        <c:scaling>
          <c:orientation val="minMax"/>
        </c:scaling>
        <c:delete val="1"/>
        <c:axPos val="l"/>
        <c:numFmt formatCode="0.000" sourceLinked="1"/>
        <c:majorTickMark val="none"/>
        <c:minorTickMark val="none"/>
        <c:tickLblPos val="nextTo"/>
        <c:crossAx val="17525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Minutes (18/19)</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'18-19 v 23-24'!$C$3</c:f>
              <c:strCache>
                <c:ptCount val="1"/>
                <c:pt idx="0">
                  <c:v>Minutes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'18-19 v 23-24'!$A$4:$A$14</c:f>
              <c:strCache>
                <c:ptCount val="11"/>
                <c:pt idx="0">
                  <c:v>Virgil Van Dijk</c:v>
                </c:pt>
                <c:pt idx="1">
                  <c:v>Trent Alexander-Arnold</c:v>
                </c:pt>
                <c:pt idx="2">
                  <c:v>Joel Matip</c:v>
                </c:pt>
                <c:pt idx="3">
                  <c:v>Andrew Robertson</c:v>
                </c:pt>
                <c:pt idx="4">
                  <c:v>Geoginio Wijnaldum</c:v>
                </c:pt>
                <c:pt idx="5">
                  <c:v>James Milner</c:v>
                </c:pt>
                <c:pt idx="6">
                  <c:v>Jordan Henderson</c:v>
                </c:pt>
                <c:pt idx="7">
                  <c:v>Fabinho</c:v>
                </c:pt>
                <c:pt idx="8">
                  <c:v>Mohamed Salah</c:v>
                </c:pt>
                <c:pt idx="9">
                  <c:v>Roberto Firmino</c:v>
                </c:pt>
                <c:pt idx="10">
                  <c:v>Sadio Mane</c:v>
                </c:pt>
              </c:strCache>
            </c:strRef>
          </c:cat>
          <c:val>
            <c:numRef>
              <c:f>'18-19 v 23-24'!$C$4:$C$14</c:f>
              <c:numCache>
                <c:formatCode>General</c:formatCode>
                <c:ptCount val="11"/>
                <c:pt idx="0">
                  <c:v>3384</c:v>
                </c:pt>
                <c:pt idx="1">
                  <c:v>2462</c:v>
                </c:pt>
                <c:pt idx="2">
                  <c:v>1537</c:v>
                </c:pt>
                <c:pt idx="3">
                  <c:v>3216</c:v>
                </c:pt>
                <c:pt idx="4">
                  <c:v>2725</c:v>
                </c:pt>
                <c:pt idx="5">
                  <c:v>1789</c:v>
                </c:pt>
                <c:pt idx="6">
                  <c:v>1987</c:v>
                </c:pt>
                <c:pt idx="7">
                  <c:v>2017</c:v>
                </c:pt>
                <c:pt idx="8">
                  <c:v>3250</c:v>
                </c:pt>
                <c:pt idx="9">
                  <c:v>3077</c:v>
                </c:pt>
                <c:pt idx="10">
                  <c:v>2607</c:v>
                </c:pt>
              </c:numCache>
            </c:numRef>
          </c:val>
          <c:extLst>
            <c:ext xmlns:c16="http://schemas.microsoft.com/office/drawing/2014/chart" uri="{C3380CC4-5D6E-409C-BE32-E72D297353CC}">
              <c16:uniqueId val="{00000000-FB60-47DB-B27B-25A0A9099436}"/>
            </c:ext>
          </c:extLst>
        </c:ser>
        <c:dLbls>
          <c:dLblPos val="outEnd"/>
          <c:showLegendKey val="0"/>
          <c:showVal val="1"/>
          <c:showCatName val="0"/>
          <c:showSerName val="0"/>
          <c:showPercent val="0"/>
          <c:showBubbleSize val="0"/>
        </c:dLbls>
        <c:gapWidth val="444"/>
        <c:overlap val="-90"/>
        <c:axId val="157584912"/>
        <c:axId val="157585392"/>
      </c:barChart>
      <c:catAx>
        <c:axId val="15758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57585392"/>
        <c:crosses val="autoZero"/>
        <c:auto val="1"/>
        <c:lblAlgn val="ctr"/>
        <c:lblOffset val="100"/>
        <c:noMultiLvlLbl val="0"/>
      </c:catAx>
      <c:valAx>
        <c:axId val="157585392"/>
        <c:scaling>
          <c:orientation val="minMax"/>
        </c:scaling>
        <c:delete val="1"/>
        <c:axPos val="l"/>
        <c:numFmt formatCode="General" sourceLinked="1"/>
        <c:majorTickMark val="none"/>
        <c:minorTickMark val="none"/>
        <c:tickLblPos val="nextTo"/>
        <c:crossAx val="15758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Minutes (23/24)</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'18-19 v 23-24'!$K$3</c:f>
              <c:strCache>
                <c:ptCount val="1"/>
                <c:pt idx="0">
                  <c:v>Minutes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'18-19 v 23-24'!$I$4:$I$15</c:f>
              <c:strCache>
                <c:ptCount val="12"/>
                <c:pt idx="0">
                  <c:v>Virgil Van Dijk</c:v>
                </c:pt>
                <c:pt idx="1">
                  <c:v>Trent Alexander-Arnold</c:v>
                </c:pt>
                <c:pt idx="2">
                  <c:v>Joe Gomez</c:v>
                </c:pt>
                <c:pt idx="3">
                  <c:v>Andrew Robertson</c:v>
                </c:pt>
                <c:pt idx="4">
                  <c:v>Ibrahima Konate</c:v>
                </c:pt>
                <c:pt idx="5">
                  <c:v>Alexis Mac Allister</c:v>
                </c:pt>
                <c:pt idx="6">
                  <c:v>Dominik Szoboszlai</c:v>
                </c:pt>
                <c:pt idx="7">
                  <c:v>Wataru Endo</c:v>
                </c:pt>
                <c:pt idx="8">
                  <c:v>Mohamed Salah</c:v>
                </c:pt>
                <c:pt idx="9">
                  <c:v>Luis Diaz</c:v>
                </c:pt>
                <c:pt idx="10">
                  <c:v>Darwin Nunez</c:v>
                </c:pt>
                <c:pt idx="11">
                  <c:v>Cody Gakpo</c:v>
                </c:pt>
              </c:strCache>
            </c:strRef>
          </c:cat>
          <c:val>
            <c:numRef>
              <c:f>'18-19 v 23-24'!$K$4:$K$15</c:f>
              <c:numCache>
                <c:formatCode>General</c:formatCode>
                <c:ptCount val="12"/>
                <c:pt idx="0">
                  <c:v>3177</c:v>
                </c:pt>
                <c:pt idx="1">
                  <c:v>2155</c:v>
                </c:pt>
                <c:pt idx="2">
                  <c:v>1786</c:v>
                </c:pt>
                <c:pt idx="3">
                  <c:v>1693</c:v>
                </c:pt>
                <c:pt idx="4">
                  <c:v>1574</c:v>
                </c:pt>
                <c:pt idx="5">
                  <c:v>2599</c:v>
                </c:pt>
                <c:pt idx="6">
                  <c:v>2104</c:v>
                </c:pt>
                <c:pt idx="7">
                  <c:v>1722</c:v>
                </c:pt>
                <c:pt idx="8">
                  <c:v>2534</c:v>
                </c:pt>
                <c:pt idx="9">
                  <c:v>2629</c:v>
                </c:pt>
                <c:pt idx="10">
                  <c:v>2047</c:v>
                </c:pt>
                <c:pt idx="11">
                  <c:v>1649</c:v>
                </c:pt>
              </c:numCache>
            </c:numRef>
          </c:val>
          <c:extLst>
            <c:ext xmlns:c16="http://schemas.microsoft.com/office/drawing/2014/chart" uri="{C3380CC4-5D6E-409C-BE32-E72D297353CC}">
              <c16:uniqueId val="{00000000-7AC1-4987-BE57-627A4CA93BB6}"/>
            </c:ext>
          </c:extLst>
        </c:ser>
        <c:dLbls>
          <c:dLblPos val="outEnd"/>
          <c:showLegendKey val="0"/>
          <c:showVal val="1"/>
          <c:showCatName val="0"/>
          <c:showSerName val="0"/>
          <c:showPercent val="0"/>
          <c:showBubbleSize val="0"/>
        </c:dLbls>
        <c:gapWidth val="444"/>
        <c:overlap val="-90"/>
        <c:axId val="157490352"/>
        <c:axId val="157491312"/>
      </c:barChart>
      <c:catAx>
        <c:axId val="15749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57491312"/>
        <c:crosses val="autoZero"/>
        <c:auto val="1"/>
        <c:lblAlgn val="ctr"/>
        <c:lblOffset val="100"/>
        <c:noMultiLvlLbl val="0"/>
      </c:catAx>
      <c:valAx>
        <c:axId val="157491312"/>
        <c:scaling>
          <c:orientation val="minMax"/>
        </c:scaling>
        <c:delete val="1"/>
        <c:axPos val="l"/>
        <c:numFmt formatCode="General" sourceLinked="1"/>
        <c:majorTickMark val="none"/>
        <c:minorTickMark val="none"/>
        <c:tickLblPos val="nextTo"/>
        <c:crossAx val="15749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G+A/90' (23/24)</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'18-19 v 23-24'!$N$3</c:f>
              <c:strCache>
                <c:ptCount val="1"/>
                <c:pt idx="0">
                  <c:v>G+A/90'</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'18-19 v 23-24'!$I$4:$I$15</c:f>
              <c:strCache>
                <c:ptCount val="12"/>
                <c:pt idx="0">
                  <c:v>Virgil Van Dijk</c:v>
                </c:pt>
                <c:pt idx="1">
                  <c:v>Trent Alexander-Arnold</c:v>
                </c:pt>
                <c:pt idx="2">
                  <c:v>Joe Gomez</c:v>
                </c:pt>
                <c:pt idx="3">
                  <c:v>Andrew Robertson</c:v>
                </c:pt>
                <c:pt idx="4">
                  <c:v>Ibrahima Konate</c:v>
                </c:pt>
                <c:pt idx="5">
                  <c:v>Alexis Mac Allister</c:v>
                </c:pt>
                <c:pt idx="6">
                  <c:v>Dominik Szoboszlai</c:v>
                </c:pt>
                <c:pt idx="7">
                  <c:v>Wataru Endo</c:v>
                </c:pt>
                <c:pt idx="8">
                  <c:v>Mohamed Salah</c:v>
                </c:pt>
                <c:pt idx="9">
                  <c:v>Luis Diaz</c:v>
                </c:pt>
                <c:pt idx="10">
                  <c:v>Darwin Nunez</c:v>
                </c:pt>
                <c:pt idx="11">
                  <c:v>Cody Gakpo</c:v>
                </c:pt>
              </c:strCache>
            </c:strRef>
          </c:cat>
          <c:val>
            <c:numRef>
              <c:f>'18-19 v 23-24'!$N$4:$N$15</c:f>
              <c:numCache>
                <c:formatCode>0.00000</c:formatCode>
                <c:ptCount val="12"/>
                <c:pt idx="0">
                  <c:v>4.4444444444444446E-2</c:v>
                </c:pt>
                <c:pt idx="1">
                  <c:v>7.7777777777777779E-2</c:v>
                </c:pt>
                <c:pt idx="2">
                  <c:v>1.1111111111111112E-2</c:v>
                </c:pt>
                <c:pt idx="3">
                  <c:v>5.5555555555555552E-2</c:v>
                </c:pt>
                <c:pt idx="4">
                  <c:v>0</c:v>
                </c:pt>
                <c:pt idx="5">
                  <c:v>0.1111111111111111</c:v>
                </c:pt>
                <c:pt idx="6">
                  <c:v>5.5555555555555552E-2</c:v>
                </c:pt>
                <c:pt idx="7">
                  <c:v>1.1111111111111112E-2</c:v>
                </c:pt>
                <c:pt idx="8">
                  <c:v>0.31111111111111112</c:v>
                </c:pt>
                <c:pt idx="9">
                  <c:v>0.14444444444444443</c:v>
                </c:pt>
                <c:pt idx="10">
                  <c:v>0.21111111111111111</c:v>
                </c:pt>
                <c:pt idx="11">
                  <c:v>0.14444444444444443</c:v>
                </c:pt>
              </c:numCache>
            </c:numRef>
          </c:val>
          <c:extLst>
            <c:ext xmlns:c16="http://schemas.microsoft.com/office/drawing/2014/chart" uri="{C3380CC4-5D6E-409C-BE32-E72D297353CC}">
              <c16:uniqueId val="{00000000-769A-4500-BE90-EAEAE7B65135}"/>
            </c:ext>
          </c:extLst>
        </c:ser>
        <c:dLbls>
          <c:dLblPos val="outEnd"/>
          <c:showLegendKey val="0"/>
          <c:showVal val="1"/>
          <c:showCatName val="0"/>
          <c:showSerName val="0"/>
          <c:showPercent val="0"/>
          <c:showBubbleSize val="0"/>
        </c:dLbls>
        <c:gapWidth val="444"/>
        <c:overlap val="-90"/>
        <c:axId val="157501872"/>
        <c:axId val="157502352"/>
      </c:barChart>
      <c:catAx>
        <c:axId val="15750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57502352"/>
        <c:crosses val="autoZero"/>
        <c:auto val="1"/>
        <c:lblAlgn val="ctr"/>
        <c:lblOffset val="100"/>
        <c:noMultiLvlLbl val="0"/>
      </c:catAx>
      <c:valAx>
        <c:axId val="157502352"/>
        <c:scaling>
          <c:orientation val="minMax"/>
        </c:scaling>
        <c:delete val="1"/>
        <c:axPos val="l"/>
        <c:numFmt formatCode="0.00000" sourceLinked="1"/>
        <c:majorTickMark val="none"/>
        <c:minorTickMark val="none"/>
        <c:tickLblPos val="nextTo"/>
        <c:crossAx val="15750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Minutes (19/20)</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'19-20 v 24-25'!$C$3</c:f>
              <c:strCache>
                <c:ptCount val="1"/>
                <c:pt idx="0">
                  <c:v>Minutes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'19-20 v 24-25'!$A$4:$A$13</c:f>
              <c:strCache>
                <c:ptCount val="10"/>
                <c:pt idx="0">
                  <c:v>Virgil Van Dijk</c:v>
                </c:pt>
                <c:pt idx="1">
                  <c:v>Trent Alexander-Arnold</c:v>
                </c:pt>
                <c:pt idx="2">
                  <c:v>Joe Gomez</c:v>
                </c:pt>
                <c:pt idx="3">
                  <c:v>Andrew Robertson</c:v>
                </c:pt>
                <c:pt idx="4">
                  <c:v>Geoginio Wijnaldum</c:v>
                </c:pt>
                <c:pt idx="5">
                  <c:v>Jordan Henderson</c:v>
                </c:pt>
                <c:pt idx="6">
                  <c:v>Fabinho</c:v>
                </c:pt>
                <c:pt idx="7">
                  <c:v>Mohamed Salah</c:v>
                </c:pt>
                <c:pt idx="8">
                  <c:v>Roberto Firmino</c:v>
                </c:pt>
                <c:pt idx="9">
                  <c:v>Sadio Mane</c:v>
                </c:pt>
              </c:strCache>
            </c:strRef>
          </c:cat>
          <c:val>
            <c:numRef>
              <c:f>'19-20 v 24-25'!$C$4:$C$13</c:f>
              <c:numCache>
                <c:formatCode>General</c:formatCode>
                <c:ptCount val="10"/>
                <c:pt idx="0">
                  <c:v>3420</c:v>
                </c:pt>
                <c:pt idx="1">
                  <c:v>3175</c:v>
                </c:pt>
                <c:pt idx="2">
                  <c:v>2004</c:v>
                </c:pt>
                <c:pt idx="3">
                  <c:v>3111</c:v>
                </c:pt>
                <c:pt idx="4">
                  <c:v>2935</c:v>
                </c:pt>
                <c:pt idx="5">
                  <c:v>2238</c:v>
                </c:pt>
                <c:pt idx="6">
                  <c:v>2079</c:v>
                </c:pt>
                <c:pt idx="7">
                  <c:v>2876</c:v>
                </c:pt>
                <c:pt idx="8">
                  <c:v>2988</c:v>
                </c:pt>
                <c:pt idx="9">
                  <c:v>2747</c:v>
                </c:pt>
              </c:numCache>
            </c:numRef>
          </c:val>
          <c:extLst>
            <c:ext xmlns:c16="http://schemas.microsoft.com/office/drawing/2014/chart" uri="{C3380CC4-5D6E-409C-BE32-E72D297353CC}">
              <c16:uniqueId val="{00000000-0854-4F69-8403-095C74855294}"/>
            </c:ext>
          </c:extLst>
        </c:ser>
        <c:dLbls>
          <c:dLblPos val="outEnd"/>
          <c:showLegendKey val="0"/>
          <c:showVal val="1"/>
          <c:showCatName val="0"/>
          <c:showSerName val="0"/>
          <c:showPercent val="0"/>
          <c:showBubbleSize val="0"/>
        </c:dLbls>
        <c:gapWidth val="444"/>
        <c:overlap val="-90"/>
        <c:axId val="1685796880"/>
        <c:axId val="1685796400"/>
      </c:barChart>
      <c:catAx>
        <c:axId val="1685796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cap="all" spc="120" normalizeH="0" baseline="0">
                <a:solidFill>
                  <a:schemeClr val="tx1">
                    <a:lumMod val="65000"/>
                    <a:lumOff val="35000"/>
                  </a:schemeClr>
                </a:solidFill>
                <a:latin typeface="+mn-lt"/>
                <a:ea typeface="+mn-ea"/>
                <a:cs typeface="+mn-cs"/>
              </a:defRPr>
            </a:pPr>
            <a:endParaRPr lang="en-US"/>
          </a:p>
        </c:txPr>
        <c:crossAx val="1685796400"/>
        <c:crosses val="autoZero"/>
        <c:auto val="1"/>
        <c:lblAlgn val="ctr"/>
        <c:lblOffset val="100"/>
        <c:noMultiLvlLbl val="0"/>
      </c:catAx>
      <c:valAx>
        <c:axId val="1685796400"/>
        <c:scaling>
          <c:orientation val="minMax"/>
        </c:scaling>
        <c:delete val="1"/>
        <c:axPos val="l"/>
        <c:numFmt formatCode="General" sourceLinked="1"/>
        <c:majorTickMark val="none"/>
        <c:minorTickMark val="none"/>
        <c:tickLblPos val="nextTo"/>
        <c:crossAx val="168579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G+A/90'(19/20)</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'19-20 v 24-25'!$F$3</c:f>
              <c:strCache>
                <c:ptCount val="1"/>
                <c:pt idx="0">
                  <c:v>G+A/90'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'19-20 v 24-25'!$A$4:$A$13</c:f>
              <c:strCache>
                <c:ptCount val="10"/>
                <c:pt idx="0">
                  <c:v>Virgil Van Dijk</c:v>
                </c:pt>
                <c:pt idx="1">
                  <c:v>Trent Alexander-Arnold</c:v>
                </c:pt>
                <c:pt idx="2">
                  <c:v>Joe Gomez</c:v>
                </c:pt>
                <c:pt idx="3">
                  <c:v>Andrew Robertson</c:v>
                </c:pt>
                <c:pt idx="4">
                  <c:v>Geoginio Wijnaldum</c:v>
                </c:pt>
                <c:pt idx="5">
                  <c:v>Jordan Henderson</c:v>
                </c:pt>
                <c:pt idx="6">
                  <c:v>Fabinho</c:v>
                </c:pt>
                <c:pt idx="7">
                  <c:v>Mohamed Salah</c:v>
                </c:pt>
                <c:pt idx="8">
                  <c:v>Roberto Firmino</c:v>
                </c:pt>
                <c:pt idx="9">
                  <c:v>Sadio Mane</c:v>
                </c:pt>
              </c:strCache>
            </c:strRef>
          </c:cat>
          <c:val>
            <c:numRef>
              <c:f>'19-20 v 24-25'!$F$4:$F$13</c:f>
              <c:numCache>
                <c:formatCode>0.000</c:formatCode>
                <c:ptCount val="10"/>
                <c:pt idx="0">
                  <c:v>6.6666666666666666E-2</c:v>
                </c:pt>
                <c:pt idx="1">
                  <c:v>0.18888888888888888</c:v>
                </c:pt>
                <c:pt idx="2">
                  <c:v>0</c:v>
                </c:pt>
                <c:pt idx="3">
                  <c:v>0.15555555555555556</c:v>
                </c:pt>
                <c:pt idx="4">
                  <c:v>4.4444444444444446E-2</c:v>
                </c:pt>
                <c:pt idx="5">
                  <c:v>0.1</c:v>
                </c:pt>
                <c:pt idx="6">
                  <c:v>5.5555555555555552E-2</c:v>
                </c:pt>
                <c:pt idx="7">
                  <c:v>0.32222222222222224</c:v>
                </c:pt>
                <c:pt idx="8">
                  <c:v>0.18888888888888888</c:v>
                </c:pt>
                <c:pt idx="9">
                  <c:v>0.27777777777777779</c:v>
                </c:pt>
              </c:numCache>
            </c:numRef>
          </c:val>
          <c:extLst>
            <c:ext xmlns:c16="http://schemas.microsoft.com/office/drawing/2014/chart" uri="{C3380CC4-5D6E-409C-BE32-E72D297353CC}">
              <c16:uniqueId val="{00000000-B89B-4BBC-8AEC-8A39DB4A54AD}"/>
            </c:ext>
          </c:extLst>
        </c:ser>
        <c:dLbls>
          <c:dLblPos val="outEnd"/>
          <c:showLegendKey val="0"/>
          <c:showVal val="1"/>
          <c:showCatName val="0"/>
          <c:showSerName val="0"/>
          <c:showPercent val="0"/>
          <c:showBubbleSize val="0"/>
        </c:dLbls>
        <c:gapWidth val="444"/>
        <c:overlap val="-90"/>
        <c:axId val="1685806000"/>
        <c:axId val="1685806480"/>
      </c:barChart>
      <c:catAx>
        <c:axId val="168580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cap="all" spc="120" normalizeH="0" baseline="0">
                <a:solidFill>
                  <a:schemeClr val="tx1">
                    <a:lumMod val="65000"/>
                    <a:lumOff val="35000"/>
                  </a:schemeClr>
                </a:solidFill>
                <a:latin typeface="+mn-lt"/>
                <a:ea typeface="+mn-ea"/>
                <a:cs typeface="+mn-cs"/>
              </a:defRPr>
            </a:pPr>
            <a:endParaRPr lang="en-US"/>
          </a:p>
        </c:txPr>
        <c:crossAx val="1685806480"/>
        <c:crosses val="autoZero"/>
        <c:auto val="1"/>
        <c:lblAlgn val="ctr"/>
        <c:lblOffset val="100"/>
        <c:noMultiLvlLbl val="0"/>
      </c:catAx>
      <c:valAx>
        <c:axId val="1685806480"/>
        <c:scaling>
          <c:orientation val="minMax"/>
        </c:scaling>
        <c:delete val="1"/>
        <c:axPos val="l"/>
        <c:numFmt formatCode="0.000" sourceLinked="1"/>
        <c:majorTickMark val="none"/>
        <c:minorTickMark val="none"/>
        <c:tickLblPos val="nextTo"/>
        <c:crossAx val="168580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Minutes (24/25)</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'19-20 v 24-25'!$K$3</c:f>
              <c:strCache>
                <c:ptCount val="1"/>
                <c:pt idx="0">
                  <c:v>Minutes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'19-20 v 24-25'!$I$4:$I$14</c:f>
              <c:strCache>
                <c:ptCount val="11"/>
                <c:pt idx="0">
                  <c:v>Virgil Van Dijk</c:v>
                </c:pt>
                <c:pt idx="1">
                  <c:v>Trent Alexander-Arnold</c:v>
                </c:pt>
                <c:pt idx="2">
                  <c:v>Andrew Robertson</c:v>
                </c:pt>
                <c:pt idx="3">
                  <c:v>Ibrahima Konate</c:v>
                </c:pt>
                <c:pt idx="4">
                  <c:v>Ryan Gravenberch</c:v>
                </c:pt>
                <c:pt idx="5">
                  <c:v>Alexis Mac Allister</c:v>
                </c:pt>
                <c:pt idx="6">
                  <c:v>Dominik Szoboszlai</c:v>
                </c:pt>
                <c:pt idx="7">
                  <c:v>Curtis Jones</c:v>
                </c:pt>
                <c:pt idx="8">
                  <c:v>Mohamed Salah</c:v>
                </c:pt>
                <c:pt idx="9">
                  <c:v>Luis Diaz</c:v>
                </c:pt>
                <c:pt idx="10">
                  <c:v>Cody Gakpo</c:v>
                </c:pt>
              </c:strCache>
            </c:strRef>
          </c:cat>
          <c:val>
            <c:numRef>
              <c:f>'19-20 v 24-25'!$K$4:$K$14</c:f>
              <c:numCache>
                <c:formatCode>General</c:formatCode>
                <c:ptCount val="11"/>
                <c:pt idx="0">
                  <c:v>3330</c:v>
                </c:pt>
                <c:pt idx="1">
                  <c:v>2365</c:v>
                </c:pt>
                <c:pt idx="2">
                  <c:v>2482</c:v>
                </c:pt>
                <c:pt idx="3">
                  <c:v>2560</c:v>
                </c:pt>
                <c:pt idx="4">
                  <c:v>3160</c:v>
                </c:pt>
                <c:pt idx="5">
                  <c:v>2599</c:v>
                </c:pt>
                <c:pt idx="6">
                  <c:v>2491</c:v>
                </c:pt>
                <c:pt idx="7">
                  <c:v>1712</c:v>
                </c:pt>
                <c:pt idx="8">
                  <c:v>3371</c:v>
                </c:pt>
                <c:pt idx="9">
                  <c:v>2399</c:v>
                </c:pt>
                <c:pt idx="10">
                  <c:v>1935</c:v>
                </c:pt>
              </c:numCache>
            </c:numRef>
          </c:val>
          <c:extLst>
            <c:ext xmlns:c16="http://schemas.microsoft.com/office/drawing/2014/chart" uri="{C3380CC4-5D6E-409C-BE32-E72D297353CC}">
              <c16:uniqueId val="{00000000-CFFE-4169-B379-CC29DF6067C8}"/>
            </c:ext>
          </c:extLst>
        </c:ser>
        <c:dLbls>
          <c:dLblPos val="outEnd"/>
          <c:showLegendKey val="0"/>
          <c:showVal val="1"/>
          <c:showCatName val="0"/>
          <c:showSerName val="0"/>
          <c:showPercent val="0"/>
          <c:showBubbleSize val="0"/>
        </c:dLbls>
        <c:gapWidth val="444"/>
        <c:overlap val="-90"/>
        <c:axId val="1685566000"/>
        <c:axId val="1685567920"/>
      </c:barChart>
      <c:catAx>
        <c:axId val="1685566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685567920"/>
        <c:crosses val="autoZero"/>
        <c:auto val="1"/>
        <c:lblAlgn val="ctr"/>
        <c:lblOffset val="100"/>
        <c:noMultiLvlLbl val="0"/>
      </c:catAx>
      <c:valAx>
        <c:axId val="1685567920"/>
        <c:scaling>
          <c:orientation val="minMax"/>
        </c:scaling>
        <c:delete val="1"/>
        <c:axPos val="l"/>
        <c:numFmt formatCode="General" sourceLinked="1"/>
        <c:majorTickMark val="none"/>
        <c:minorTickMark val="none"/>
        <c:tickLblPos val="nextTo"/>
        <c:crossAx val="16855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r>
              <a:rPr lang="en-US" sz="1200"/>
              <a:t>G+A/90' (24/25)</a:t>
            </a:r>
          </a:p>
        </c:rich>
      </c:tx>
      <c:overlay val="0"/>
      <c:spPr>
        <a:noFill/>
        <a:ln>
          <a:noFill/>
        </a:ln>
        <a:effectLst/>
      </c:spPr>
      <c:txPr>
        <a:bodyPr rot="0" spcFirstLastPara="1" vertOverflow="ellipsis" vert="horz" wrap="square" anchor="ctr" anchorCtr="1"/>
        <a:lstStyle/>
        <a:p>
          <a:pPr>
            <a:defRPr sz="12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'19-20 v 24-25'!$N$3</c:f>
              <c:strCache>
                <c:ptCount val="1"/>
                <c:pt idx="0">
                  <c:v>G+A/90'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'19-20 v 24-25'!$I$4:$I$14</c:f>
              <c:strCache>
                <c:ptCount val="11"/>
                <c:pt idx="0">
                  <c:v>Virgil Van Dijk</c:v>
                </c:pt>
                <c:pt idx="1">
                  <c:v>Trent Alexander-Arnold</c:v>
                </c:pt>
                <c:pt idx="2">
                  <c:v>Andrew Robertson</c:v>
                </c:pt>
                <c:pt idx="3">
                  <c:v>Ibrahima Konate</c:v>
                </c:pt>
                <c:pt idx="4">
                  <c:v>Ryan Gravenberch</c:v>
                </c:pt>
                <c:pt idx="5">
                  <c:v>Alexis Mac Allister</c:v>
                </c:pt>
                <c:pt idx="6">
                  <c:v>Dominik Szoboszlai</c:v>
                </c:pt>
                <c:pt idx="7">
                  <c:v>Curtis Jones</c:v>
                </c:pt>
                <c:pt idx="8">
                  <c:v>Mohamed Salah</c:v>
                </c:pt>
                <c:pt idx="9">
                  <c:v>Luis Diaz</c:v>
                </c:pt>
                <c:pt idx="10">
                  <c:v>Cody Gakpo</c:v>
                </c:pt>
              </c:strCache>
            </c:strRef>
          </c:cat>
          <c:val>
            <c:numRef>
              <c:f>'19-20 v 24-25'!$N$4:$N$14</c:f>
              <c:numCache>
                <c:formatCode>0.0000</c:formatCode>
                <c:ptCount val="11"/>
                <c:pt idx="0">
                  <c:v>4.4444444444444446E-2</c:v>
                </c:pt>
                <c:pt idx="1">
                  <c:v>0.1</c:v>
                </c:pt>
                <c:pt idx="2">
                  <c:v>1.1111111111111112E-2</c:v>
                </c:pt>
                <c:pt idx="3">
                  <c:v>3.3333333333333333E-2</c:v>
                </c:pt>
                <c:pt idx="4">
                  <c:v>4.4444444444444446E-2</c:v>
                </c:pt>
                <c:pt idx="5">
                  <c:v>0.1111111111111111</c:v>
                </c:pt>
                <c:pt idx="6">
                  <c:v>0.13333333333333333</c:v>
                </c:pt>
                <c:pt idx="7">
                  <c:v>6.6666666666666666E-2</c:v>
                </c:pt>
                <c:pt idx="8">
                  <c:v>0.52222222222222225</c:v>
                </c:pt>
                <c:pt idx="9">
                  <c:v>0.2</c:v>
                </c:pt>
                <c:pt idx="10">
                  <c:v>0.15555555555555556</c:v>
                </c:pt>
              </c:numCache>
            </c:numRef>
          </c:val>
          <c:extLst>
            <c:ext xmlns:c16="http://schemas.microsoft.com/office/drawing/2014/chart" uri="{C3380CC4-5D6E-409C-BE32-E72D297353CC}">
              <c16:uniqueId val="{00000000-3D2F-4E87-B130-29EC4419B259}"/>
            </c:ext>
          </c:extLst>
        </c:ser>
        <c:dLbls>
          <c:dLblPos val="outEnd"/>
          <c:showLegendKey val="0"/>
          <c:showVal val="1"/>
          <c:showCatName val="0"/>
          <c:showSerName val="0"/>
          <c:showPercent val="0"/>
          <c:showBubbleSize val="0"/>
        </c:dLbls>
        <c:gapWidth val="444"/>
        <c:overlap val="-90"/>
        <c:axId val="1685580400"/>
        <c:axId val="1685576560"/>
      </c:barChart>
      <c:catAx>
        <c:axId val="168558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685576560"/>
        <c:crosses val="autoZero"/>
        <c:auto val="1"/>
        <c:lblAlgn val="ctr"/>
        <c:lblOffset val="100"/>
        <c:noMultiLvlLbl val="0"/>
      </c:catAx>
      <c:valAx>
        <c:axId val="1685576560"/>
        <c:scaling>
          <c:orientation val="minMax"/>
        </c:scaling>
        <c:delete val="1"/>
        <c:axPos val="l"/>
        <c:numFmt formatCode="0.0000" sourceLinked="1"/>
        <c:majorTickMark val="none"/>
        <c:minorTickMark val="none"/>
        <c:tickLblPos val="nextTo"/>
        <c:crossAx val="168558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'19-20 v 24-25'!$G$3</c:f>
              <c:strCache>
                <c:ptCount val="1"/>
                <c:pt idx="0">
                  <c:v>% of Goals in Dept</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'19-20 v 24-25'!$A$4:$A$13</c15:sqref>
                  </c15:fullRef>
                </c:ext>
              </c:extLst>
              <c:f>('19-20 v 24-25'!$A$4:$A$5,'19-20 v 24-25'!$A$7:$A$9,'19-20 v 24-25'!$A$11:$A$13)</c:f>
              <c:strCache>
                <c:ptCount val="8"/>
                <c:pt idx="0">
                  <c:v>Virgil Van Dijk</c:v>
                </c:pt>
                <c:pt idx="1">
                  <c:v>Trent Alexander-Arnold</c:v>
                </c:pt>
                <c:pt idx="2">
                  <c:v>Andrew Robertson</c:v>
                </c:pt>
                <c:pt idx="3">
                  <c:v>Geoginio Wijnaldum</c:v>
                </c:pt>
                <c:pt idx="4">
                  <c:v>Jordan Henderson</c:v>
                </c:pt>
                <c:pt idx="5">
                  <c:v>Mohamed Salah</c:v>
                </c:pt>
                <c:pt idx="6">
                  <c:v>Roberto Firmino</c:v>
                </c:pt>
                <c:pt idx="7">
                  <c:v>Sadio Mane</c:v>
                </c:pt>
              </c:strCache>
            </c:strRef>
          </c:cat>
          <c:val>
            <c:numRef>
              <c:extLst>
                <c:ext xmlns:c15="http://schemas.microsoft.com/office/drawing/2012/chart" uri="{02D57815-91ED-43cb-92C2-25804820EDAC}">
                  <c15:fullRef>
                    <c15:sqref>'19-20 v 24-25'!$G$4:$G$13</c15:sqref>
                  </c15:fullRef>
                </c:ext>
              </c:extLst>
              <c:f>('19-20 v 24-25'!$G$4:$G$5,'19-20 v 24-25'!$G$7:$G$9,'19-20 v 24-25'!$G$11:$G$13)</c:f>
              <c:numCache>
                <c:formatCode>0.00%</c:formatCode>
                <c:ptCount val="8"/>
                <c:pt idx="0">
                  <c:v>0.41666666666666669</c:v>
                </c:pt>
                <c:pt idx="1">
                  <c:v>0.33333333333333331</c:v>
                </c:pt>
                <c:pt idx="2">
                  <c:v>0.16666666666666666</c:v>
                </c:pt>
                <c:pt idx="3">
                  <c:v>0.19047619047619047</c:v>
                </c:pt>
                <c:pt idx="4">
                  <c:v>0.19047619047619047</c:v>
                </c:pt>
                <c:pt idx="5">
                  <c:v>0.38</c:v>
                </c:pt>
                <c:pt idx="6">
                  <c:v>0.18</c:v>
                </c:pt>
                <c:pt idx="7">
                  <c:v>0.36</c:v>
                </c:pt>
              </c:numCache>
            </c:numRef>
          </c:val>
          <c:extLst>
            <c:ext xmlns:c16="http://schemas.microsoft.com/office/drawing/2014/chart" uri="{C3380CC4-5D6E-409C-BE32-E72D297353CC}">
              <c16:uniqueId val="{00000000-2E8B-468D-969F-666F45BC9AEF}"/>
            </c:ext>
          </c:extLst>
        </c:ser>
        <c:ser>
          <c:idx val="1"/>
          <c:order val="1"/>
          <c:tx>
            <c:strRef>
              <c:f>'19-20 v 24-25'!$H$3</c:f>
              <c:strCache>
                <c:ptCount val="1"/>
                <c:pt idx="0">
                  <c:v>% of Assists in Dept</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'19-20 v 24-25'!$A$4:$A$13</c15:sqref>
                  </c15:fullRef>
                </c:ext>
              </c:extLst>
              <c:f>('19-20 v 24-25'!$A$4:$A$5,'19-20 v 24-25'!$A$7:$A$9,'19-20 v 24-25'!$A$11:$A$13)</c:f>
              <c:strCache>
                <c:ptCount val="8"/>
                <c:pt idx="0">
                  <c:v>Virgil Van Dijk</c:v>
                </c:pt>
                <c:pt idx="1">
                  <c:v>Trent Alexander-Arnold</c:v>
                </c:pt>
                <c:pt idx="2">
                  <c:v>Andrew Robertson</c:v>
                </c:pt>
                <c:pt idx="3">
                  <c:v>Geoginio Wijnaldum</c:v>
                </c:pt>
                <c:pt idx="4">
                  <c:v>Jordan Henderson</c:v>
                </c:pt>
                <c:pt idx="5">
                  <c:v>Mohamed Salah</c:v>
                </c:pt>
                <c:pt idx="6">
                  <c:v>Roberto Firmino</c:v>
                </c:pt>
                <c:pt idx="7">
                  <c:v>Sadio Mane</c:v>
                </c:pt>
              </c:strCache>
            </c:strRef>
          </c:cat>
          <c:val>
            <c:numRef>
              <c:extLst>
                <c:ext xmlns:c15="http://schemas.microsoft.com/office/drawing/2012/chart" uri="{02D57815-91ED-43cb-92C2-25804820EDAC}">
                  <c15:fullRef>
                    <c15:sqref>'19-20 v 24-25'!$H$4:$H$13</c15:sqref>
                  </c15:fullRef>
                </c:ext>
              </c:extLst>
              <c:f>('19-20 v 24-25'!$H$4:$H$5,'19-20 v 24-25'!$H$7:$H$9,'19-20 v 24-25'!$H$11:$H$13)</c:f>
              <c:numCache>
                <c:formatCode>0.00%</c:formatCode>
                <c:ptCount val="8"/>
                <c:pt idx="0">
                  <c:v>3.7037037037037035E-2</c:v>
                </c:pt>
                <c:pt idx="1">
                  <c:v>0.48148148148148145</c:v>
                </c:pt>
                <c:pt idx="2">
                  <c:v>0.44444444444444442</c:v>
                </c:pt>
                <c:pt idx="3">
                  <c:v>0</c:v>
                </c:pt>
                <c:pt idx="4">
                  <c:v>0.33333333333333331</c:v>
                </c:pt>
                <c:pt idx="5">
                  <c:v>0.38461538461538464</c:v>
                </c:pt>
                <c:pt idx="6">
                  <c:v>0.30769230769230771</c:v>
                </c:pt>
                <c:pt idx="7">
                  <c:v>0.26923076923076922</c:v>
                </c:pt>
              </c:numCache>
            </c:numRef>
          </c:val>
          <c:extLst>
            <c:ext xmlns:c16="http://schemas.microsoft.com/office/drawing/2014/chart" uri="{C3380CC4-5D6E-409C-BE32-E72D297353CC}">
              <c16:uniqueId val="{00000001-2E8B-468D-969F-666F45BC9AEF}"/>
            </c:ext>
          </c:extLst>
        </c:ser>
        <c:dLbls>
          <c:showLegendKey val="0"/>
          <c:showVal val="0"/>
          <c:showCatName val="0"/>
          <c:showSerName val="0"/>
          <c:showPercent val="0"/>
          <c:showBubbleSize val="0"/>
        </c:dLbls>
        <c:axId val="1544298752"/>
        <c:axId val="1544294432"/>
      </c:radarChart>
      <c:catAx>
        <c:axId val="154429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294432"/>
        <c:crosses val="autoZero"/>
        <c:auto val="1"/>
        <c:lblAlgn val="ctr"/>
        <c:lblOffset val="100"/>
        <c:noMultiLvlLbl val="0"/>
      </c:catAx>
      <c:valAx>
        <c:axId val="154429443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44298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'19-20 v 24-25'!$O$3</c:f>
              <c:strCache>
                <c:ptCount val="1"/>
                <c:pt idx="0">
                  <c:v>% of Goals in Dept</c:v>
                </c:pt>
              </c:strCache>
            </c:strRef>
          </c:tx>
          <c:spPr>
            <a:ln w="28575" cap="rnd">
              <a:solidFill>
                <a:schemeClr val="accent1"/>
              </a:solidFill>
              <a:round/>
            </a:ln>
            <a:effectLst/>
          </c:spPr>
          <c:marker>
            <c:symbol val="none"/>
          </c:marker>
          <c:cat>
            <c:strRef>
              <c:extLst>
                <c:ext xmlns:c15="http://schemas.microsoft.com/office/drawing/2012/chart" uri="{02D57815-91ED-43cb-92C2-25804820EDAC}">
                  <c15:fullRef>
                    <c15:sqref>'19-20 v 24-25'!$I$4:$I$14</c15:sqref>
                  </c15:fullRef>
                </c:ext>
              </c:extLst>
              <c:f>('19-20 v 24-25'!$I$4:$I$6,'19-20 v 24-25'!$I$8:$I$14)</c:f>
              <c:strCache>
                <c:ptCount val="10"/>
                <c:pt idx="0">
                  <c:v>Virgil Van Dijk</c:v>
                </c:pt>
                <c:pt idx="1">
                  <c:v>Trent Alexander-Arnold</c:v>
                </c:pt>
                <c:pt idx="2">
                  <c:v>Andrew Robertson</c:v>
                </c:pt>
                <c:pt idx="3">
                  <c:v>Ryan Gravenberch</c:v>
                </c:pt>
                <c:pt idx="4">
                  <c:v>Alexis Mac Allister</c:v>
                </c:pt>
                <c:pt idx="5">
                  <c:v>Dominik Szoboszlai</c:v>
                </c:pt>
                <c:pt idx="6">
                  <c:v>Curtis Jones</c:v>
                </c:pt>
                <c:pt idx="7">
                  <c:v>Mohamed Salah</c:v>
                </c:pt>
                <c:pt idx="8">
                  <c:v>Luis Diaz</c:v>
                </c:pt>
                <c:pt idx="9">
                  <c:v>Cody Gakpo</c:v>
                </c:pt>
              </c:strCache>
            </c:strRef>
          </c:cat>
          <c:val>
            <c:numRef>
              <c:extLst>
                <c:ext xmlns:c15="http://schemas.microsoft.com/office/drawing/2012/chart" uri="{02D57815-91ED-43cb-92C2-25804820EDAC}">
                  <c15:fullRef>
                    <c15:sqref>'19-20 v 24-25'!$O$4:$O$14</c15:sqref>
                  </c15:fullRef>
                </c:ext>
              </c:extLst>
              <c:f>('19-20 v 24-25'!$O$4:$O$6,'19-20 v 24-25'!$O$8:$O$14)</c:f>
              <c:numCache>
                <c:formatCode>0.00%</c:formatCode>
                <c:ptCount val="10"/>
                <c:pt idx="0">
                  <c:v>0.42857142857142855</c:v>
                </c:pt>
                <c:pt idx="1">
                  <c:v>0.42857142857142855</c:v>
                </c:pt>
                <c:pt idx="2">
                  <c:v>0</c:v>
                </c:pt>
                <c:pt idx="3">
                  <c:v>0</c:v>
                </c:pt>
                <c:pt idx="4">
                  <c:v>0.33333333333333331</c:v>
                </c:pt>
                <c:pt idx="5">
                  <c:v>0.4</c:v>
                </c:pt>
                <c:pt idx="6">
                  <c:v>0.2</c:v>
                </c:pt>
                <c:pt idx="7">
                  <c:v>0.46031746031746029</c:v>
                </c:pt>
                <c:pt idx="8">
                  <c:v>0.20634920634920634</c:v>
                </c:pt>
                <c:pt idx="9">
                  <c:v>0.15873015873015872</c:v>
                </c:pt>
              </c:numCache>
            </c:numRef>
          </c:val>
          <c:extLst>
            <c:ext xmlns:c16="http://schemas.microsoft.com/office/drawing/2014/chart" uri="{C3380CC4-5D6E-409C-BE32-E72D297353CC}">
              <c16:uniqueId val="{00000000-1744-42E7-82B5-3E5959242DDB}"/>
            </c:ext>
          </c:extLst>
        </c:ser>
        <c:ser>
          <c:idx val="1"/>
          <c:order val="1"/>
          <c:tx>
            <c:strRef>
              <c:f>'19-20 v 24-25'!$P$3</c:f>
              <c:strCache>
                <c:ptCount val="1"/>
                <c:pt idx="0">
                  <c:v>% of Assists in Dept</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'19-20 v 24-25'!$I$4:$I$14</c15:sqref>
                  </c15:fullRef>
                </c:ext>
              </c:extLst>
              <c:f>('19-20 v 24-25'!$I$4:$I$6,'19-20 v 24-25'!$I$8:$I$14)</c:f>
              <c:strCache>
                <c:ptCount val="10"/>
                <c:pt idx="0">
                  <c:v>Virgil Van Dijk</c:v>
                </c:pt>
                <c:pt idx="1">
                  <c:v>Trent Alexander-Arnold</c:v>
                </c:pt>
                <c:pt idx="2">
                  <c:v>Andrew Robertson</c:v>
                </c:pt>
                <c:pt idx="3">
                  <c:v>Ryan Gravenberch</c:v>
                </c:pt>
                <c:pt idx="4">
                  <c:v>Alexis Mac Allister</c:v>
                </c:pt>
                <c:pt idx="5">
                  <c:v>Dominik Szoboszlai</c:v>
                </c:pt>
                <c:pt idx="6">
                  <c:v>Curtis Jones</c:v>
                </c:pt>
                <c:pt idx="7">
                  <c:v>Mohamed Salah</c:v>
                </c:pt>
                <c:pt idx="8">
                  <c:v>Luis Diaz</c:v>
                </c:pt>
                <c:pt idx="9">
                  <c:v>Cody Gakpo</c:v>
                </c:pt>
              </c:strCache>
            </c:strRef>
          </c:cat>
          <c:val>
            <c:numRef>
              <c:extLst>
                <c:ext xmlns:c15="http://schemas.microsoft.com/office/drawing/2012/chart" uri="{02D57815-91ED-43cb-92C2-25804820EDAC}">
                  <c15:fullRef>
                    <c15:sqref>'19-20 v 24-25'!$P$4:$P$14</c15:sqref>
                  </c15:fullRef>
                </c:ext>
              </c:extLst>
              <c:f>('19-20 v 24-25'!$P$4:$P$6,'19-20 v 24-25'!$P$8:$P$14)</c:f>
              <c:numCache>
                <c:formatCode>0.00%</c:formatCode>
                <c:ptCount val="10"/>
                <c:pt idx="0">
                  <c:v>7.6923076923076927E-2</c:v>
                </c:pt>
                <c:pt idx="1">
                  <c:v>0.46153846153846156</c:v>
                </c:pt>
                <c:pt idx="2">
                  <c:v>7.6923076923076927E-2</c:v>
                </c:pt>
                <c:pt idx="3">
                  <c:v>0.2</c:v>
                </c:pt>
                <c:pt idx="4">
                  <c:v>0.25</c:v>
                </c:pt>
                <c:pt idx="5">
                  <c:v>0.3</c:v>
                </c:pt>
                <c:pt idx="6">
                  <c:v>0.15</c:v>
                </c:pt>
                <c:pt idx="7">
                  <c:v>0.5625</c:v>
                </c:pt>
                <c:pt idx="8">
                  <c:v>0.15625</c:v>
                </c:pt>
                <c:pt idx="9">
                  <c:v>0.125</c:v>
                </c:pt>
              </c:numCache>
            </c:numRef>
          </c:val>
          <c:extLst>
            <c:ext xmlns:c16="http://schemas.microsoft.com/office/drawing/2014/chart" uri="{C3380CC4-5D6E-409C-BE32-E72D297353CC}">
              <c16:uniqueId val="{00000001-1744-42E7-82B5-3E5959242DDB}"/>
            </c:ext>
          </c:extLst>
        </c:ser>
        <c:dLbls>
          <c:showLegendKey val="0"/>
          <c:showVal val="0"/>
          <c:showCatName val="0"/>
          <c:showSerName val="0"/>
          <c:showPercent val="0"/>
          <c:showBubbleSize val="0"/>
        </c:dLbls>
        <c:axId val="1544335712"/>
        <c:axId val="1544336192"/>
      </c:radarChart>
      <c:catAx>
        <c:axId val="154433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336192"/>
        <c:crosses val="autoZero"/>
        <c:auto val="1"/>
        <c:lblAlgn val="ctr"/>
        <c:lblOffset val="100"/>
        <c:noMultiLvlLbl val="0"/>
      </c:catAx>
      <c:valAx>
        <c:axId val="1544336192"/>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5443357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5">
  <a:schemeClr val="accent2"/>
</cs:colorStyle>
</file>

<file path=xl/charts/colors29.xml><?xml version="1.0" encoding="utf-8"?>
<cs:colorStyle xmlns:cs="http://schemas.microsoft.com/office/drawing/2012/chartStyle" xmlns:a="http://schemas.openxmlformats.org/drawingml/2006/main" meth="withinLinear" id="15">
  <a:schemeClr val="accent2"/>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4"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20</xdr:col>
      <xdr:colOff>170447</xdr:colOff>
      <xdr:row>0</xdr:row>
      <xdr:rowOff>187492</xdr:rowOff>
    </xdr:from>
    <xdr:to>
      <xdr:col>27</xdr:col>
      <xdr:colOff>461210</xdr:colOff>
      <xdr:row>14</xdr:row>
      <xdr:rowOff>123324</xdr:rowOff>
    </xdr:to>
    <xdr:graphicFrame macro="">
      <xdr:nvGraphicFramePr>
        <xdr:cNvPr id="3" name="Chart 2">
          <a:extLst>
            <a:ext uri="{FF2B5EF4-FFF2-40B4-BE49-F238E27FC236}">
              <a16:creationId xmlns:a16="http://schemas.microsoft.com/office/drawing/2014/main" id="{22D7FF83-EDDF-478D-3BFD-B6338007C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171450</xdr:colOff>
      <xdr:row>15</xdr:row>
      <xdr:rowOff>28575</xdr:rowOff>
    </xdr:from>
    <xdr:to>
      <xdr:col>27</xdr:col>
      <xdr:colOff>476250</xdr:colOff>
      <xdr:row>28</xdr:row>
      <xdr:rowOff>171450</xdr:rowOff>
    </xdr:to>
    <xdr:graphicFrame macro="">
      <xdr:nvGraphicFramePr>
        <xdr:cNvPr id="2" name="Chart 1">
          <a:extLst>
            <a:ext uri="{FF2B5EF4-FFF2-40B4-BE49-F238E27FC236}">
              <a16:creationId xmlns:a16="http://schemas.microsoft.com/office/drawing/2014/main" id="{38DCFCFB-40AA-DC64-55A7-AED12AA32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66675</xdr:colOff>
      <xdr:row>14</xdr:row>
      <xdr:rowOff>190500</xdr:rowOff>
    </xdr:from>
    <xdr:to>
      <xdr:col>35</xdr:col>
      <xdr:colOff>371475</xdr:colOff>
      <xdr:row>28</xdr:row>
      <xdr:rowOff>133350</xdr:rowOff>
    </xdr:to>
    <xdr:graphicFrame macro="">
      <xdr:nvGraphicFramePr>
        <xdr:cNvPr id="6" name="Chart 5">
          <a:extLst>
            <a:ext uri="{FF2B5EF4-FFF2-40B4-BE49-F238E27FC236}">
              <a16:creationId xmlns:a16="http://schemas.microsoft.com/office/drawing/2014/main" id="{3CB697C5-F21F-AF97-EAF1-48C8A484F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66675</xdr:colOff>
      <xdr:row>1</xdr:row>
      <xdr:rowOff>0</xdr:rowOff>
    </xdr:from>
    <xdr:to>
      <xdr:col>35</xdr:col>
      <xdr:colOff>371475</xdr:colOff>
      <xdr:row>14</xdr:row>
      <xdr:rowOff>142875</xdr:rowOff>
    </xdr:to>
    <xdr:graphicFrame macro="">
      <xdr:nvGraphicFramePr>
        <xdr:cNvPr id="4" name="Chart 3">
          <a:extLst>
            <a:ext uri="{FF2B5EF4-FFF2-40B4-BE49-F238E27FC236}">
              <a16:creationId xmlns:a16="http://schemas.microsoft.com/office/drawing/2014/main" id="{39CFFD66-4C81-2EC2-9D9F-FCE306020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211666</xdr:colOff>
      <xdr:row>1</xdr:row>
      <xdr:rowOff>173567</xdr:rowOff>
    </xdr:from>
    <xdr:to>
      <xdr:col>28</xdr:col>
      <xdr:colOff>516466</xdr:colOff>
      <xdr:row>15</xdr:row>
      <xdr:rowOff>190500</xdr:rowOff>
    </xdr:to>
    <xdr:graphicFrame macro="">
      <xdr:nvGraphicFramePr>
        <xdr:cNvPr id="2" name="Chart 1">
          <a:extLst>
            <a:ext uri="{FF2B5EF4-FFF2-40B4-BE49-F238E27FC236}">
              <a16:creationId xmlns:a16="http://schemas.microsoft.com/office/drawing/2014/main" id="{E835FCC0-7975-1AB0-5F42-44691381D5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211666</xdr:colOff>
      <xdr:row>16</xdr:row>
      <xdr:rowOff>105833</xdr:rowOff>
    </xdr:from>
    <xdr:to>
      <xdr:col>28</xdr:col>
      <xdr:colOff>516466</xdr:colOff>
      <xdr:row>30</xdr:row>
      <xdr:rowOff>122766</xdr:rowOff>
    </xdr:to>
    <xdr:graphicFrame macro="">
      <xdr:nvGraphicFramePr>
        <xdr:cNvPr id="3" name="Chart 2">
          <a:extLst>
            <a:ext uri="{FF2B5EF4-FFF2-40B4-BE49-F238E27FC236}">
              <a16:creationId xmlns:a16="http://schemas.microsoft.com/office/drawing/2014/main" id="{1E2CE59E-C7C3-C4E3-5AC7-38041A9FB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127001</xdr:colOff>
      <xdr:row>1</xdr:row>
      <xdr:rowOff>182033</xdr:rowOff>
    </xdr:from>
    <xdr:to>
      <xdr:col>36</xdr:col>
      <xdr:colOff>431801</xdr:colOff>
      <xdr:row>16</xdr:row>
      <xdr:rowOff>4233</xdr:rowOff>
    </xdr:to>
    <xdr:graphicFrame macro="">
      <xdr:nvGraphicFramePr>
        <xdr:cNvPr id="4" name="Chart 3">
          <a:extLst>
            <a:ext uri="{FF2B5EF4-FFF2-40B4-BE49-F238E27FC236}">
              <a16:creationId xmlns:a16="http://schemas.microsoft.com/office/drawing/2014/main" id="{F051BDF9-76AD-2F7D-5A5B-9DBA3DD17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118534</xdr:colOff>
      <xdr:row>16</xdr:row>
      <xdr:rowOff>55033</xdr:rowOff>
    </xdr:from>
    <xdr:to>
      <xdr:col>36</xdr:col>
      <xdr:colOff>423334</xdr:colOff>
      <xdr:row>30</xdr:row>
      <xdr:rowOff>71966</xdr:rowOff>
    </xdr:to>
    <xdr:graphicFrame macro="">
      <xdr:nvGraphicFramePr>
        <xdr:cNvPr id="5" name="Chart 4">
          <a:extLst>
            <a:ext uri="{FF2B5EF4-FFF2-40B4-BE49-F238E27FC236}">
              <a16:creationId xmlns:a16="http://schemas.microsoft.com/office/drawing/2014/main" id="{E19482FD-2B00-B7F2-FD9A-CD2411A4DB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550333</xdr:colOff>
      <xdr:row>1</xdr:row>
      <xdr:rowOff>182034</xdr:rowOff>
    </xdr:from>
    <xdr:to>
      <xdr:col>44</xdr:col>
      <xdr:colOff>245533</xdr:colOff>
      <xdr:row>16</xdr:row>
      <xdr:rowOff>4234</xdr:rowOff>
    </xdr:to>
    <xdr:graphicFrame macro="">
      <xdr:nvGraphicFramePr>
        <xdr:cNvPr id="6" name="Chart 5">
          <a:extLst>
            <a:ext uri="{FF2B5EF4-FFF2-40B4-BE49-F238E27FC236}">
              <a16:creationId xmlns:a16="http://schemas.microsoft.com/office/drawing/2014/main" id="{FA6B276F-1CF3-CDE7-3F85-97060BA7F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114822</xdr:colOff>
      <xdr:row>0</xdr:row>
      <xdr:rowOff>115866</xdr:rowOff>
    </xdr:from>
    <xdr:to>
      <xdr:col>27</xdr:col>
      <xdr:colOff>448850</xdr:colOff>
      <xdr:row>14</xdr:row>
      <xdr:rowOff>82463</xdr:rowOff>
    </xdr:to>
    <xdr:graphicFrame macro="">
      <xdr:nvGraphicFramePr>
        <xdr:cNvPr id="2" name="Chart 1">
          <a:extLst>
            <a:ext uri="{FF2B5EF4-FFF2-40B4-BE49-F238E27FC236}">
              <a16:creationId xmlns:a16="http://schemas.microsoft.com/office/drawing/2014/main" id="{1A206CC3-4389-4F94-1338-2341B5464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20876</xdr:colOff>
      <xdr:row>0</xdr:row>
      <xdr:rowOff>126304</xdr:rowOff>
    </xdr:from>
    <xdr:to>
      <xdr:col>35</xdr:col>
      <xdr:colOff>354903</xdr:colOff>
      <xdr:row>14</xdr:row>
      <xdr:rowOff>92901</xdr:rowOff>
    </xdr:to>
    <xdr:graphicFrame macro="">
      <xdr:nvGraphicFramePr>
        <xdr:cNvPr id="5" name="Chart 4">
          <a:extLst>
            <a:ext uri="{FF2B5EF4-FFF2-40B4-BE49-F238E27FC236}">
              <a16:creationId xmlns:a16="http://schemas.microsoft.com/office/drawing/2014/main" id="{D517F520-F6E6-22FF-69B6-EA240D780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135699</xdr:colOff>
      <xdr:row>15</xdr:row>
      <xdr:rowOff>74112</xdr:rowOff>
    </xdr:from>
    <xdr:to>
      <xdr:col>27</xdr:col>
      <xdr:colOff>469727</xdr:colOff>
      <xdr:row>29</xdr:row>
      <xdr:rowOff>40710</xdr:rowOff>
    </xdr:to>
    <xdr:graphicFrame macro="">
      <xdr:nvGraphicFramePr>
        <xdr:cNvPr id="7" name="Chart 6">
          <a:extLst>
            <a:ext uri="{FF2B5EF4-FFF2-40B4-BE49-F238E27FC236}">
              <a16:creationId xmlns:a16="http://schemas.microsoft.com/office/drawing/2014/main" id="{D775E823-8B3B-2D72-AB2A-CF7EF05A5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10437</xdr:colOff>
      <xdr:row>15</xdr:row>
      <xdr:rowOff>63674</xdr:rowOff>
    </xdr:from>
    <xdr:to>
      <xdr:col>35</xdr:col>
      <xdr:colOff>344464</xdr:colOff>
      <xdr:row>29</xdr:row>
      <xdr:rowOff>30272</xdr:rowOff>
    </xdr:to>
    <xdr:graphicFrame macro="">
      <xdr:nvGraphicFramePr>
        <xdr:cNvPr id="8" name="Chart 7">
          <a:extLst>
            <a:ext uri="{FF2B5EF4-FFF2-40B4-BE49-F238E27FC236}">
              <a16:creationId xmlns:a16="http://schemas.microsoft.com/office/drawing/2014/main" id="{B3AB4A1B-6689-8D3F-00CE-2E7CDF444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133993</xdr:colOff>
      <xdr:row>0</xdr:row>
      <xdr:rowOff>87667</xdr:rowOff>
    </xdr:from>
    <xdr:to>
      <xdr:col>27</xdr:col>
      <xdr:colOff>460633</xdr:colOff>
      <xdr:row>14</xdr:row>
      <xdr:rowOff>14138</xdr:rowOff>
    </xdr:to>
    <xdr:graphicFrame macro="">
      <xdr:nvGraphicFramePr>
        <xdr:cNvPr id="2" name="Chart 1">
          <a:extLst>
            <a:ext uri="{FF2B5EF4-FFF2-40B4-BE49-F238E27FC236}">
              <a16:creationId xmlns:a16="http://schemas.microsoft.com/office/drawing/2014/main" id="{132E248F-31BB-3C92-405D-42D86CEFB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119743</xdr:colOff>
      <xdr:row>14</xdr:row>
      <xdr:rowOff>179614</xdr:rowOff>
    </xdr:from>
    <xdr:to>
      <xdr:col>27</xdr:col>
      <xdr:colOff>424543</xdr:colOff>
      <xdr:row>28</xdr:row>
      <xdr:rowOff>179614</xdr:rowOff>
    </xdr:to>
    <xdr:graphicFrame macro="">
      <xdr:nvGraphicFramePr>
        <xdr:cNvPr id="3" name="Chart 2">
          <a:extLst>
            <a:ext uri="{FF2B5EF4-FFF2-40B4-BE49-F238E27FC236}">
              <a16:creationId xmlns:a16="http://schemas.microsoft.com/office/drawing/2014/main" id="{6026A160-530B-7261-7551-F11116B1C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598716</xdr:colOff>
      <xdr:row>0</xdr:row>
      <xdr:rowOff>97971</xdr:rowOff>
    </xdr:from>
    <xdr:to>
      <xdr:col>35</xdr:col>
      <xdr:colOff>293916</xdr:colOff>
      <xdr:row>14</xdr:row>
      <xdr:rowOff>97971</xdr:rowOff>
    </xdr:to>
    <xdr:graphicFrame macro="">
      <xdr:nvGraphicFramePr>
        <xdr:cNvPr id="4" name="Chart 3">
          <a:extLst>
            <a:ext uri="{FF2B5EF4-FFF2-40B4-BE49-F238E27FC236}">
              <a16:creationId xmlns:a16="http://schemas.microsoft.com/office/drawing/2014/main" id="{3EFCCF83-7BEF-8CDD-06BC-8AC93026B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598715</xdr:colOff>
      <xdr:row>15</xdr:row>
      <xdr:rowOff>70757</xdr:rowOff>
    </xdr:from>
    <xdr:to>
      <xdr:col>35</xdr:col>
      <xdr:colOff>293915</xdr:colOff>
      <xdr:row>29</xdr:row>
      <xdr:rowOff>70757</xdr:rowOff>
    </xdr:to>
    <xdr:graphicFrame macro="">
      <xdr:nvGraphicFramePr>
        <xdr:cNvPr id="5" name="Chart 4">
          <a:extLst>
            <a:ext uri="{FF2B5EF4-FFF2-40B4-BE49-F238E27FC236}">
              <a16:creationId xmlns:a16="http://schemas.microsoft.com/office/drawing/2014/main" id="{2714D26A-D841-D4F8-D4FB-818C499A5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259080</xdr:colOff>
      <xdr:row>0</xdr:row>
      <xdr:rowOff>129540</xdr:rowOff>
    </xdr:from>
    <xdr:to>
      <xdr:col>11</xdr:col>
      <xdr:colOff>60960</xdr:colOff>
      <xdr:row>10</xdr:row>
      <xdr:rowOff>83820</xdr:rowOff>
    </xdr:to>
    <xdr:graphicFrame macro="">
      <xdr:nvGraphicFramePr>
        <xdr:cNvPr id="4" name="Chart 3">
          <a:extLst>
            <a:ext uri="{FF2B5EF4-FFF2-40B4-BE49-F238E27FC236}">
              <a16:creationId xmlns:a16="http://schemas.microsoft.com/office/drawing/2014/main" id="{C923FB6C-1DBA-1A3A-3FBD-786FA862B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167640</xdr:colOff>
      <xdr:row>0</xdr:row>
      <xdr:rowOff>114300</xdr:rowOff>
    </xdr:from>
    <xdr:to>
      <xdr:col>17</xdr:col>
      <xdr:colOff>22860</xdr:colOff>
      <xdr:row>10</xdr:row>
      <xdr:rowOff>91440</xdr:rowOff>
    </xdr:to>
    <xdr:graphicFrame macro="">
      <xdr:nvGraphicFramePr>
        <xdr:cNvPr id="5" name="Chart 4">
          <a:extLst>
            <a:ext uri="{FF2B5EF4-FFF2-40B4-BE49-F238E27FC236}">
              <a16:creationId xmlns:a16="http://schemas.microsoft.com/office/drawing/2014/main" id="{06B36702-7BBC-34E6-C99F-290A76251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160020</xdr:colOff>
      <xdr:row>10</xdr:row>
      <xdr:rowOff>160020</xdr:rowOff>
    </xdr:from>
    <xdr:to>
      <xdr:col>16</xdr:col>
      <xdr:colOff>601980</xdr:colOff>
      <xdr:row>20</xdr:row>
      <xdr:rowOff>137160</xdr:rowOff>
    </xdr:to>
    <xdr:graphicFrame macro="">
      <xdr:nvGraphicFramePr>
        <xdr:cNvPr id="6" name="Chart 5">
          <a:extLst>
            <a:ext uri="{FF2B5EF4-FFF2-40B4-BE49-F238E27FC236}">
              <a16:creationId xmlns:a16="http://schemas.microsoft.com/office/drawing/2014/main" id="{5E09F16F-E36D-2300-03F5-CD513C04F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228600</xdr:colOff>
      <xdr:row>10</xdr:row>
      <xdr:rowOff>160020</xdr:rowOff>
    </xdr:from>
    <xdr:to>
      <xdr:col>11</xdr:col>
      <xdr:colOff>68580</xdr:colOff>
      <xdr:row>20</xdr:row>
      <xdr:rowOff>152400</xdr:rowOff>
    </xdr:to>
    <xdr:graphicFrame macro="">
      <xdr:nvGraphicFramePr>
        <xdr:cNvPr id="7" name="Chart 6">
          <a:extLst>
            <a:ext uri="{FF2B5EF4-FFF2-40B4-BE49-F238E27FC236}">
              <a16:creationId xmlns:a16="http://schemas.microsoft.com/office/drawing/2014/main" id="{49C79DD5-CF3B-400F-FF18-7A430BFB7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339686</xdr:colOff>
      <xdr:row>0</xdr:row>
      <xdr:rowOff>134039</xdr:rowOff>
    </xdr:from>
    <xdr:to>
      <xdr:col>12</xdr:col>
      <xdr:colOff>312144</xdr:colOff>
      <xdr:row>10</xdr:row>
      <xdr:rowOff>119349</xdr:rowOff>
    </xdr:to>
    <xdr:graphicFrame macro="">
      <xdr:nvGraphicFramePr>
        <xdr:cNvPr id="2" name="Chart 1">
          <a:extLst>
            <a:ext uri="{FF2B5EF4-FFF2-40B4-BE49-F238E27FC236}">
              <a16:creationId xmlns:a16="http://schemas.microsoft.com/office/drawing/2014/main" id="{FCDB7A2A-5C3F-288E-A122-1D35A7C6A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394771</xdr:colOff>
      <xdr:row>0</xdr:row>
      <xdr:rowOff>134038</xdr:rowOff>
    </xdr:from>
    <xdr:to>
      <xdr:col>19</xdr:col>
      <xdr:colOff>275421</xdr:colOff>
      <xdr:row>10</xdr:row>
      <xdr:rowOff>119348</xdr:rowOff>
    </xdr:to>
    <xdr:graphicFrame macro="">
      <xdr:nvGraphicFramePr>
        <xdr:cNvPr id="3" name="Chart 2">
          <a:extLst>
            <a:ext uri="{FF2B5EF4-FFF2-40B4-BE49-F238E27FC236}">
              <a16:creationId xmlns:a16="http://schemas.microsoft.com/office/drawing/2014/main" id="{8BF82BB8-6582-0FF6-0157-DDF0E0C2D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330506</xdr:colOff>
      <xdr:row>10</xdr:row>
      <xdr:rowOff>143219</xdr:rowOff>
    </xdr:from>
    <xdr:to>
      <xdr:col>12</xdr:col>
      <xdr:colOff>284602</xdr:colOff>
      <xdr:row>21</xdr:row>
      <xdr:rowOff>100988</xdr:rowOff>
    </xdr:to>
    <xdr:graphicFrame macro="">
      <xdr:nvGraphicFramePr>
        <xdr:cNvPr id="4" name="Chart 3">
          <a:extLst>
            <a:ext uri="{FF2B5EF4-FFF2-40B4-BE49-F238E27FC236}">
              <a16:creationId xmlns:a16="http://schemas.microsoft.com/office/drawing/2014/main" id="{2C45E1D5-21A7-45C1-FD18-5AE724D85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367229</xdr:colOff>
      <xdr:row>10</xdr:row>
      <xdr:rowOff>143220</xdr:rowOff>
    </xdr:from>
    <xdr:to>
      <xdr:col>19</xdr:col>
      <xdr:colOff>302964</xdr:colOff>
      <xdr:row>21</xdr:row>
      <xdr:rowOff>100988</xdr:rowOff>
    </xdr:to>
    <xdr:graphicFrame macro="">
      <xdr:nvGraphicFramePr>
        <xdr:cNvPr id="5" name="Chart 4">
          <a:extLst>
            <a:ext uri="{FF2B5EF4-FFF2-40B4-BE49-F238E27FC236}">
              <a16:creationId xmlns:a16="http://schemas.microsoft.com/office/drawing/2014/main" id="{C9D29344-61B3-A6C2-7D05-2324E0F60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122369</xdr:colOff>
      <xdr:row>19</xdr:row>
      <xdr:rowOff>94130</xdr:rowOff>
    </xdr:from>
    <xdr:to>
      <xdr:col>4</xdr:col>
      <xdr:colOff>107576</xdr:colOff>
      <xdr:row>32</xdr:row>
      <xdr:rowOff>63650</xdr:rowOff>
    </xdr:to>
    <xdr:graphicFrame macro="">
      <xdr:nvGraphicFramePr>
        <xdr:cNvPr id="2" name="Chart 1">
          <a:extLst>
            <a:ext uri="{FF2B5EF4-FFF2-40B4-BE49-F238E27FC236}">
              <a16:creationId xmlns:a16="http://schemas.microsoft.com/office/drawing/2014/main" id="{F51BC569-4891-4FF1-405D-DBFDE2BF5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153746</xdr:colOff>
      <xdr:row>19</xdr:row>
      <xdr:rowOff>142540</xdr:rowOff>
    </xdr:from>
    <xdr:to>
      <xdr:col>8</xdr:col>
      <xdr:colOff>0</xdr:colOff>
      <xdr:row>32</xdr:row>
      <xdr:rowOff>96819</xdr:rowOff>
    </xdr:to>
    <xdr:graphicFrame macro="">
      <xdr:nvGraphicFramePr>
        <xdr:cNvPr id="3" name="Chart 2">
          <a:extLst>
            <a:ext uri="{FF2B5EF4-FFF2-40B4-BE49-F238E27FC236}">
              <a16:creationId xmlns:a16="http://schemas.microsoft.com/office/drawing/2014/main" id="{73A610F0-2AA6-97FE-B598-ACFFEDB97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621034</xdr:colOff>
      <xdr:row>19</xdr:row>
      <xdr:rowOff>41805</xdr:rowOff>
    </xdr:from>
    <xdr:to>
      <xdr:col>14</xdr:col>
      <xdr:colOff>597708</xdr:colOff>
      <xdr:row>31</xdr:row>
      <xdr:rowOff>107119</xdr:rowOff>
    </xdr:to>
    <xdr:graphicFrame macro="">
      <xdr:nvGraphicFramePr>
        <xdr:cNvPr id="4" name="Chart 3">
          <a:extLst>
            <a:ext uri="{FF2B5EF4-FFF2-40B4-BE49-F238E27FC236}">
              <a16:creationId xmlns:a16="http://schemas.microsoft.com/office/drawing/2014/main" id="{2AD6E2C7-227E-762B-A457-DD314F07D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658905</xdr:colOff>
      <xdr:row>18</xdr:row>
      <xdr:rowOff>147917</xdr:rowOff>
    </xdr:from>
    <xdr:to>
      <xdr:col>19</xdr:col>
      <xdr:colOff>537882</xdr:colOff>
      <xdr:row>31</xdr:row>
      <xdr:rowOff>80681</xdr:rowOff>
    </xdr:to>
    <xdr:graphicFrame macro="">
      <xdr:nvGraphicFramePr>
        <xdr:cNvPr id="5" name="Chart 4">
          <a:extLst>
            <a:ext uri="{FF2B5EF4-FFF2-40B4-BE49-F238E27FC236}">
              <a16:creationId xmlns:a16="http://schemas.microsoft.com/office/drawing/2014/main" id="{264B1B86-9F23-BBA0-5EFD-F732FB61E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182880</xdr:colOff>
      <xdr:row>18</xdr:row>
      <xdr:rowOff>76200</xdr:rowOff>
    </xdr:from>
    <xdr:to>
      <xdr:col>5</xdr:col>
      <xdr:colOff>121920</xdr:colOff>
      <xdr:row>28</xdr:row>
      <xdr:rowOff>106680</xdr:rowOff>
    </xdr:to>
    <xdr:graphicFrame macro="">
      <xdr:nvGraphicFramePr>
        <xdr:cNvPr id="2" name="Chart 1">
          <a:extLst>
            <a:ext uri="{FF2B5EF4-FFF2-40B4-BE49-F238E27FC236}">
              <a16:creationId xmlns:a16="http://schemas.microsoft.com/office/drawing/2014/main" id="{BDE23E34-A03A-8647-9CB5-2E166BD53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175260</xdr:colOff>
      <xdr:row>18</xdr:row>
      <xdr:rowOff>60960</xdr:rowOff>
    </xdr:from>
    <xdr:to>
      <xdr:col>8</xdr:col>
      <xdr:colOff>480060</xdr:colOff>
      <xdr:row>28</xdr:row>
      <xdr:rowOff>121920</xdr:rowOff>
    </xdr:to>
    <xdr:graphicFrame macro="">
      <xdr:nvGraphicFramePr>
        <xdr:cNvPr id="3" name="Chart 2">
          <a:extLst>
            <a:ext uri="{FF2B5EF4-FFF2-40B4-BE49-F238E27FC236}">
              <a16:creationId xmlns:a16="http://schemas.microsoft.com/office/drawing/2014/main" id="{6E00DCE5-BE74-7BDC-1529-6364A9620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579120</xdr:colOff>
      <xdr:row>18</xdr:row>
      <xdr:rowOff>68580</xdr:rowOff>
    </xdr:from>
    <xdr:to>
      <xdr:col>13</xdr:col>
      <xdr:colOff>434340</xdr:colOff>
      <xdr:row>28</xdr:row>
      <xdr:rowOff>91440</xdr:rowOff>
    </xdr:to>
    <xdr:graphicFrame macro="">
      <xdr:nvGraphicFramePr>
        <xdr:cNvPr id="4" name="Chart 3">
          <a:extLst>
            <a:ext uri="{FF2B5EF4-FFF2-40B4-BE49-F238E27FC236}">
              <a16:creationId xmlns:a16="http://schemas.microsoft.com/office/drawing/2014/main" id="{AF1400BA-8E3B-77F1-4903-664396E07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502920</xdr:colOff>
      <xdr:row>18</xdr:row>
      <xdr:rowOff>60960</xdr:rowOff>
    </xdr:from>
    <xdr:to>
      <xdr:col>17</xdr:col>
      <xdr:colOff>350520</xdr:colOff>
      <xdr:row>28</xdr:row>
      <xdr:rowOff>129540</xdr:rowOff>
    </xdr:to>
    <xdr:graphicFrame macro="">
      <xdr:nvGraphicFramePr>
        <xdr:cNvPr id="5" name="Chart 4">
          <a:extLst>
            <a:ext uri="{FF2B5EF4-FFF2-40B4-BE49-F238E27FC236}">
              <a16:creationId xmlns:a16="http://schemas.microsoft.com/office/drawing/2014/main" id="{E45ED02C-A4D3-88C2-F0D4-CBF9334D8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29</xdr:row>
      <xdr:rowOff>76200</xdr:rowOff>
    </xdr:from>
    <xdr:to>
      <xdr:col>6</xdr:col>
      <xdr:colOff>1097280</xdr:colOff>
      <xdr:row>41</xdr:row>
      <xdr:rowOff>30480</xdr:rowOff>
    </xdr:to>
    <xdr:graphicFrame macro="">
      <xdr:nvGraphicFramePr>
        <xdr:cNvPr id="6" name="Chart 5">
          <a:extLst>
            <a:ext uri="{FF2B5EF4-FFF2-40B4-BE49-F238E27FC236}">
              <a16:creationId xmlns:a16="http://schemas.microsoft.com/office/drawing/2014/main" id="{36ED476D-BBB6-9854-B342-FF79073C0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1432560</xdr:colOff>
      <xdr:row>29</xdr:row>
      <xdr:rowOff>45720</xdr:rowOff>
    </xdr:from>
    <xdr:to>
      <xdr:col>14</xdr:col>
      <xdr:colOff>906780</xdr:colOff>
      <xdr:row>40</xdr:row>
      <xdr:rowOff>167640</xdr:rowOff>
    </xdr:to>
    <xdr:graphicFrame macro="">
      <xdr:nvGraphicFramePr>
        <xdr:cNvPr id="7" name="Chart 6">
          <a:extLst>
            <a:ext uri="{FF2B5EF4-FFF2-40B4-BE49-F238E27FC236}">
              <a16:creationId xmlns:a16="http://schemas.microsoft.com/office/drawing/2014/main" id="{0AF95586-CCD6-5DA7-37D9-DB45D3C1E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EAF88-E22C-4D11-B6EE-1FB6289DA0B5}">
  <dimension ref="A1:T43"/>
  <sheetViews>
    <sheetView tabSelected="1" zoomScale="80" zoomScaleNormal="80" workbookViewId="0">
      <selection activeCell="K31" sqref="K31"/>
    </sheetView>
  </sheetViews>
  <sheetFormatPr defaultRowHeight="15.6" x14ac:dyDescent="0.3"/>
  <cols>
    <col min="1" max="1" width="26.33203125" style="4" bestFit="1" customWidth="1"/>
    <col min="2" max="2" width="11" style="4" customWidth="1"/>
    <col min="3" max="14" width="8.88671875" style="4"/>
    <col min="15" max="15" width="12" style="4" bestFit="1" customWidth="1"/>
    <col min="16" max="19" width="8.88671875" style="4"/>
    <col min="20" max="20" width="17.88671875" style="4" bestFit="1" customWidth="1"/>
    <col min="21" max="16384" width="8.88671875" style="4"/>
  </cols>
  <sheetData>
    <row r="1" spans="1:20" x14ac:dyDescent="0.3">
      <c r="A1" s="1"/>
      <c r="B1" s="2" t="s">
        <v>13</v>
      </c>
      <c r="C1" s="2" t="s">
        <v>3</v>
      </c>
      <c r="D1" s="2" t="s">
        <v>4</v>
      </c>
      <c r="E1" s="2" t="s">
        <v>5</v>
      </c>
      <c r="F1" s="2" t="s">
        <v>6</v>
      </c>
      <c r="G1" s="2" t="s">
        <v>7</v>
      </c>
      <c r="H1" s="2" t="s">
        <v>8</v>
      </c>
      <c r="I1" s="2" t="s">
        <v>9</v>
      </c>
      <c r="J1" s="2" t="s">
        <v>33</v>
      </c>
      <c r="K1" s="2" t="s">
        <v>10</v>
      </c>
      <c r="L1" s="2" t="s">
        <v>11</v>
      </c>
      <c r="M1" s="2" t="s">
        <v>12</v>
      </c>
      <c r="N1" s="2"/>
      <c r="O1" s="37" t="s">
        <v>72</v>
      </c>
      <c r="P1" s="37"/>
      <c r="Q1" s="37"/>
      <c r="R1" s="37"/>
      <c r="S1" s="37"/>
      <c r="T1" s="36" t="s">
        <v>52</v>
      </c>
    </row>
    <row r="2" spans="1:20" x14ac:dyDescent="0.3">
      <c r="A2" s="1" t="s">
        <v>0</v>
      </c>
      <c r="B2" s="3"/>
      <c r="O2" s="1" t="s">
        <v>45</v>
      </c>
      <c r="P2" s="2" t="s">
        <v>6</v>
      </c>
      <c r="Q2" s="2" t="s">
        <v>7</v>
      </c>
      <c r="R2" s="2" t="s">
        <v>9</v>
      </c>
      <c r="S2" s="2" t="s">
        <v>8</v>
      </c>
      <c r="T2" s="36"/>
    </row>
    <row r="3" spans="1:20" x14ac:dyDescent="0.3">
      <c r="A3" s="4" t="s">
        <v>1</v>
      </c>
      <c r="B3" s="3" t="s">
        <v>21</v>
      </c>
      <c r="C3" s="4">
        <v>38</v>
      </c>
      <c r="D3" s="4">
        <v>38</v>
      </c>
      <c r="E3" s="4">
        <v>3420</v>
      </c>
      <c r="F3" s="4">
        <v>0</v>
      </c>
      <c r="G3" s="4">
        <v>0</v>
      </c>
      <c r="H3" s="5">
        <f>SUM(F3,G3)</f>
        <v>0</v>
      </c>
      <c r="I3" s="5">
        <f>F3-J3</f>
        <v>0</v>
      </c>
      <c r="J3" s="4">
        <v>0</v>
      </c>
      <c r="K3" s="4">
        <v>0</v>
      </c>
      <c r="L3" s="4">
        <v>1</v>
      </c>
      <c r="M3" s="4">
        <v>0</v>
      </c>
      <c r="O3" s="6">
        <f>E3/90</f>
        <v>38</v>
      </c>
      <c r="P3" s="8">
        <f>F3/90</f>
        <v>0</v>
      </c>
      <c r="Q3" s="8">
        <f>G3/90</f>
        <v>0</v>
      </c>
      <c r="R3" s="4">
        <f>I3/90</f>
        <v>0</v>
      </c>
      <c r="S3" s="4">
        <f>H3/90</f>
        <v>0</v>
      </c>
    </row>
    <row r="4" spans="1:20" x14ac:dyDescent="0.3">
      <c r="B4" s="3"/>
      <c r="H4" s="5"/>
      <c r="I4" s="5"/>
      <c r="O4" s="6"/>
      <c r="P4" s="8"/>
      <c r="Q4" s="8"/>
    </row>
    <row r="5" spans="1:20" x14ac:dyDescent="0.3">
      <c r="A5" s="1" t="s">
        <v>14</v>
      </c>
      <c r="B5" s="3"/>
      <c r="H5" s="5"/>
      <c r="I5" s="5"/>
      <c r="O5" s="6"/>
      <c r="P5" s="8"/>
      <c r="Q5" s="8"/>
    </row>
    <row r="6" spans="1:20" x14ac:dyDescent="0.3">
      <c r="A6" s="4" t="s">
        <v>53</v>
      </c>
      <c r="B6" s="3" t="s">
        <v>20</v>
      </c>
      <c r="C6" s="4">
        <v>38</v>
      </c>
      <c r="D6" s="4">
        <v>38</v>
      </c>
      <c r="E6" s="4">
        <v>3384</v>
      </c>
      <c r="F6" s="4">
        <v>4</v>
      </c>
      <c r="G6" s="4">
        <v>2</v>
      </c>
      <c r="H6" s="5">
        <f>SUM(F6,G6)</f>
        <v>6</v>
      </c>
      <c r="I6" s="5">
        <f t="shared" ref="I6:I28" si="0">F6-J6</f>
        <v>4</v>
      </c>
      <c r="J6" s="4">
        <v>0</v>
      </c>
      <c r="K6" s="4">
        <v>0</v>
      </c>
      <c r="L6" s="4">
        <v>1</v>
      </c>
      <c r="M6" s="4">
        <v>0</v>
      </c>
      <c r="O6" s="6">
        <f t="shared" ref="O6:O28" si="1">E6/90</f>
        <v>37.6</v>
      </c>
      <c r="P6" s="8">
        <f t="shared" ref="P6:P28" si="2">F6/90</f>
        <v>4.4444444444444446E-2</v>
      </c>
      <c r="Q6" s="8">
        <f t="shared" ref="Q6:Q28" si="3">G6/90</f>
        <v>2.2222222222222223E-2</v>
      </c>
      <c r="R6" s="4">
        <f t="shared" ref="R6:R28" si="4">I6/90</f>
        <v>4.4444444444444446E-2</v>
      </c>
      <c r="S6" s="4">
        <f t="shared" ref="S6:S28" si="5">H6/90</f>
        <v>6.6666666666666666E-2</v>
      </c>
      <c r="T6" s="4">
        <f t="shared" ref="T6:T28" si="6">E6/H6</f>
        <v>564</v>
      </c>
    </row>
    <row r="7" spans="1:20" x14ac:dyDescent="0.3">
      <c r="A7" s="4" t="s">
        <v>16</v>
      </c>
      <c r="B7" s="3" t="s">
        <v>20</v>
      </c>
      <c r="C7" s="4">
        <v>16</v>
      </c>
      <c r="D7" s="4">
        <v>12</v>
      </c>
      <c r="E7" s="4">
        <v>1063</v>
      </c>
      <c r="F7" s="4">
        <v>0</v>
      </c>
      <c r="G7" s="4">
        <v>0</v>
      </c>
      <c r="H7" s="5">
        <f t="shared" ref="H7:H28" si="7">SUM(F7,G7)</f>
        <v>0</v>
      </c>
      <c r="I7" s="5">
        <f t="shared" si="0"/>
        <v>0</v>
      </c>
      <c r="J7" s="4">
        <v>0</v>
      </c>
      <c r="K7" s="4">
        <v>0</v>
      </c>
      <c r="L7" s="4">
        <v>2</v>
      </c>
      <c r="M7" s="4">
        <v>0</v>
      </c>
      <c r="O7" s="6">
        <f t="shared" si="1"/>
        <v>11.811111111111112</v>
      </c>
      <c r="P7" s="8">
        <f t="shared" si="2"/>
        <v>0</v>
      </c>
      <c r="Q7" s="8">
        <f t="shared" si="3"/>
        <v>0</v>
      </c>
      <c r="R7" s="4">
        <f t="shared" si="4"/>
        <v>0</v>
      </c>
      <c r="S7" s="4">
        <f t="shared" si="5"/>
        <v>0</v>
      </c>
    </row>
    <row r="8" spans="1:20" x14ac:dyDescent="0.3">
      <c r="A8" s="4" t="s">
        <v>17</v>
      </c>
      <c r="B8" s="3" t="s">
        <v>20</v>
      </c>
      <c r="C8" s="4">
        <v>29</v>
      </c>
      <c r="D8" s="4">
        <v>27</v>
      </c>
      <c r="E8" s="4">
        <v>2462</v>
      </c>
      <c r="F8" s="4">
        <v>1</v>
      </c>
      <c r="G8" s="4">
        <v>12</v>
      </c>
      <c r="H8" s="5">
        <f t="shared" si="7"/>
        <v>13</v>
      </c>
      <c r="I8" s="5">
        <f t="shared" si="0"/>
        <v>1</v>
      </c>
      <c r="J8" s="4">
        <v>0</v>
      </c>
      <c r="K8" s="4">
        <v>0</v>
      </c>
      <c r="L8" s="4">
        <v>3</v>
      </c>
      <c r="M8" s="4">
        <v>0</v>
      </c>
      <c r="O8" s="6">
        <f t="shared" si="1"/>
        <v>27.355555555555554</v>
      </c>
      <c r="P8" s="8">
        <f t="shared" si="2"/>
        <v>1.1111111111111112E-2</v>
      </c>
      <c r="Q8" s="8">
        <f t="shared" si="3"/>
        <v>0.13333333333333333</v>
      </c>
      <c r="R8" s="4">
        <f t="shared" si="4"/>
        <v>1.1111111111111112E-2</v>
      </c>
      <c r="S8" s="4">
        <f t="shared" si="5"/>
        <v>0.14444444444444443</v>
      </c>
      <c r="T8" s="4">
        <f t="shared" si="6"/>
        <v>189.38461538461539</v>
      </c>
    </row>
    <row r="9" spans="1:20" x14ac:dyDescent="0.3">
      <c r="A9" s="4" t="s">
        <v>18</v>
      </c>
      <c r="B9" s="3" t="s">
        <v>20</v>
      </c>
      <c r="C9" s="4">
        <v>22</v>
      </c>
      <c r="D9" s="4">
        <v>17</v>
      </c>
      <c r="E9" s="4">
        <v>1537</v>
      </c>
      <c r="F9" s="4">
        <v>1</v>
      </c>
      <c r="G9" s="4">
        <v>0</v>
      </c>
      <c r="H9" s="5">
        <f t="shared" si="7"/>
        <v>1</v>
      </c>
      <c r="I9" s="5">
        <f t="shared" si="0"/>
        <v>1</v>
      </c>
      <c r="J9" s="4">
        <v>0</v>
      </c>
      <c r="K9" s="4">
        <v>0</v>
      </c>
      <c r="L9" s="4">
        <v>3</v>
      </c>
      <c r="M9" s="4">
        <v>0</v>
      </c>
      <c r="O9" s="6">
        <f t="shared" si="1"/>
        <v>17.077777777777779</v>
      </c>
      <c r="P9" s="8">
        <f t="shared" si="2"/>
        <v>1.1111111111111112E-2</v>
      </c>
      <c r="Q9" s="8">
        <f t="shared" si="3"/>
        <v>0</v>
      </c>
      <c r="R9" s="4">
        <f t="shared" si="4"/>
        <v>1.1111111111111112E-2</v>
      </c>
      <c r="S9" s="4">
        <f t="shared" si="5"/>
        <v>1.1111111111111112E-2</v>
      </c>
      <c r="T9" s="4">
        <f t="shared" si="6"/>
        <v>1537</v>
      </c>
    </row>
    <row r="10" spans="1:20" x14ac:dyDescent="0.3">
      <c r="A10" s="4" t="s">
        <v>19</v>
      </c>
      <c r="B10" s="3" t="s">
        <v>20</v>
      </c>
      <c r="C10" s="4">
        <v>36</v>
      </c>
      <c r="D10" s="4">
        <v>36</v>
      </c>
      <c r="E10" s="4">
        <v>3216</v>
      </c>
      <c r="F10" s="4">
        <v>0</v>
      </c>
      <c r="G10" s="4">
        <v>11</v>
      </c>
      <c r="H10" s="5">
        <f t="shared" si="7"/>
        <v>11</v>
      </c>
      <c r="I10" s="5">
        <f t="shared" si="0"/>
        <v>0</v>
      </c>
      <c r="J10" s="4">
        <v>0</v>
      </c>
      <c r="K10" s="4">
        <v>0</v>
      </c>
      <c r="L10" s="4">
        <v>4</v>
      </c>
      <c r="M10" s="4">
        <v>0</v>
      </c>
      <c r="O10" s="6">
        <f t="shared" si="1"/>
        <v>35.733333333333334</v>
      </c>
      <c r="P10" s="8">
        <f t="shared" si="2"/>
        <v>0</v>
      </c>
      <c r="Q10" s="8">
        <f t="shared" si="3"/>
        <v>0.12222222222222222</v>
      </c>
      <c r="R10" s="4">
        <f t="shared" si="4"/>
        <v>0</v>
      </c>
      <c r="S10" s="4">
        <f t="shared" si="5"/>
        <v>0.12222222222222222</v>
      </c>
      <c r="T10" s="4">
        <f t="shared" si="6"/>
        <v>292.36363636363637</v>
      </c>
    </row>
    <row r="11" spans="1:20" x14ac:dyDescent="0.3">
      <c r="A11" s="4" t="s">
        <v>22</v>
      </c>
      <c r="B11" s="3" t="s">
        <v>20</v>
      </c>
      <c r="C11" s="4">
        <v>13</v>
      </c>
      <c r="D11" s="4">
        <v>11</v>
      </c>
      <c r="E11" s="4">
        <v>986</v>
      </c>
      <c r="F11" s="4">
        <v>1</v>
      </c>
      <c r="G11" s="4">
        <v>0</v>
      </c>
      <c r="H11" s="5">
        <f t="shared" si="7"/>
        <v>1</v>
      </c>
      <c r="I11" s="5">
        <f t="shared" si="0"/>
        <v>1</v>
      </c>
      <c r="J11" s="4">
        <v>0</v>
      </c>
      <c r="K11" s="4">
        <v>0</v>
      </c>
      <c r="L11" s="4">
        <v>1</v>
      </c>
      <c r="M11" s="4">
        <v>0</v>
      </c>
      <c r="O11" s="6">
        <f t="shared" si="1"/>
        <v>10.955555555555556</v>
      </c>
      <c r="P11" s="8">
        <f t="shared" si="2"/>
        <v>1.1111111111111112E-2</v>
      </c>
      <c r="Q11" s="8">
        <f t="shared" si="3"/>
        <v>0</v>
      </c>
      <c r="R11" s="4">
        <f t="shared" si="4"/>
        <v>1.1111111111111112E-2</v>
      </c>
      <c r="S11" s="4">
        <f t="shared" si="5"/>
        <v>1.1111111111111112E-2</v>
      </c>
      <c r="T11" s="4">
        <f t="shared" si="6"/>
        <v>986</v>
      </c>
    </row>
    <row r="12" spans="1:20" x14ac:dyDescent="0.3">
      <c r="B12" s="3"/>
      <c r="F12" s="10">
        <f t="shared" ref="F12:G12" si="8">SUM(F6:F11)</f>
        <v>7</v>
      </c>
      <c r="G12" s="10">
        <f t="shared" si="8"/>
        <v>25</v>
      </c>
      <c r="H12" s="10">
        <f>SUM(H6:H11)</f>
        <v>32</v>
      </c>
      <c r="I12" s="5"/>
      <c r="O12" s="6"/>
      <c r="P12" s="8">
        <f>SUM(P6:P11)</f>
        <v>7.7777777777777779E-2</v>
      </c>
      <c r="Q12" s="8">
        <f t="shared" ref="Q12:S12" si="9">SUM(Q6:Q11)</f>
        <v>0.27777777777777779</v>
      </c>
      <c r="R12" s="8">
        <f t="shared" si="9"/>
        <v>7.7777777777777779E-2</v>
      </c>
      <c r="S12" s="8">
        <f t="shared" si="9"/>
        <v>0.35555555555555551</v>
      </c>
    </row>
    <row r="13" spans="1:20" x14ac:dyDescent="0.3">
      <c r="A13" s="1" t="s">
        <v>24</v>
      </c>
      <c r="B13" s="3"/>
      <c r="H13" s="5"/>
      <c r="I13" s="5"/>
      <c r="O13" s="6"/>
      <c r="P13" s="8"/>
      <c r="Q13" s="8"/>
    </row>
    <row r="14" spans="1:20" x14ac:dyDescent="0.3">
      <c r="A14" s="4" t="s">
        <v>25</v>
      </c>
      <c r="B14" s="3" t="s">
        <v>26</v>
      </c>
      <c r="C14" s="4">
        <v>35</v>
      </c>
      <c r="D14" s="4">
        <v>32</v>
      </c>
      <c r="E14" s="4">
        <v>2725</v>
      </c>
      <c r="F14" s="4">
        <v>3</v>
      </c>
      <c r="G14" s="4">
        <v>0</v>
      </c>
      <c r="H14" s="5">
        <f t="shared" si="7"/>
        <v>3</v>
      </c>
      <c r="I14" s="5">
        <f t="shared" si="0"/>
        <v>3</v>
      </c>
      <c r="J14" s="4">
        <v>0</v>
      </c>
      <c r="K14" s="4">
        <v>0</v>
      </c>
      <c r="L14" s="4">
        <v>3</v>
      </c>
      <c r="M14" s="4">
        <v>0</v>
      </c>
      <c r="O14" s="6">
        <f t="shared" si="1"/>
        <v>30.277777777777779</v>
      </c>
      <c r="P14" s="8">
        <f t="shared" si="2"/>
        <v>3.3333333333333333E-2</v>
      </c>
      <c r="Q14" s="8">
        <f t="shared" si="3"/>
        <v>0</v>
      </c>
      <c r="R14" s="4">
        <f t="shared" si="4"/>
        <v>3.3333333333333333E-2</v>
      </c>
      <c r="S14" s="4">
        <f t="shared" si="5"/>
        <v>3.3333333333333333E-2</v>
      </c>
      <c r="T14" s="4">
        <f t="shared" si="6"/>
        <v>908.33333333333337</v>
      </c>
    </row>
    <row r="15" spans="1:20" x14ac:dyDescent="0.3">
      <c r="A15" s="4" t="s">
        <v>27</v>
      </c>
      <c r="B15" s="3" t="s">
        <v>28</v>
      </c>
      <c r="C15" s="4">
        <v>24</v>
      </c>
      <c r="D15" s="4">
        <v>11</v>
      </c>
      <c r="E15" s="4">
        <v>1064</v>
      </c>
      <c r="F15" s="4">
        <v>6</v>
      </c>
      <c r="G15" s="4">
        <v>3</v>
      </c>
      <c r="H15" s="5">
        <f t="shared" si="7"/>
        <v>9</v>
      </c>
      <c r="I15" s="5">
        <f t="shared" si="0"/>
        <v>6</v>
      </c>
      <c r="J15" s="4">
        <v>0</v>
      </c>
      <c r="K15" s="4">
        <v>0</v>
      </c>
      <c r="L15" s="4">
        <v>2</v>
      </c>
      <c r="M15" s="4">
        <v>0</v>
      </c>
      <c r="O15" s="6">
        <f t="shared" si="1"/>
        <v>11.822222222222223</v>
      </c>
      <c r="P15" s="8">
        <f t="shared" si="2"/>
        <v>6.6666666666666666E-2</v>
      </c>
      <c r="Q15" s="8">
        <f t="shared" si="3"/>
        <v>3.3333333333333333E-2</v>
      </c>
      <c r="R15" s="4">
        <f t="shared" si="4"/>
        <v>6.6666666666666666E-2</v>
      </c>
      <c r="S15" s="4">
        <f t="shared" si="5"/>
        <v>0.1</v>
      </c>
      <c r="T15" s="4">
        <f t="shared" si="6"/>
        <v>118.22222222222223</v>
      </c>
    </row>
    <row r="16" spans="1:20" x14ac:dyDescent="0.3">
      <c r="A16" s="4" t="s">
        <v>29</v>
      </c>
      <c r="B16" s="3" t="s">
        <v>30</v>
      </c>
      <c r="C16" s="4">
        <v>2</v>
      </c>
      <c r="D16" s="4">
        <v>0</v>
      </c>
      <c r="E16" s="4">
        <v>21</v>
      </c>
      <c r="F16" s="4">
        <v>0</v>
      </c>
      <c r="G16" s="4">
        <v>0</v>
      </c>
      <c r="H16" s="5">
        <f t="shared" si="7"/>
        <v>0</v>
      </c>
      <c r="I16" s="5">
        <f t="shared" si="0"/>
        <v>0</v>
      </c>
      <c r="J16" s="4">
        <v>0</v>
      </c>
      <c r="K16" s="4">
        <v>0</v>
      </c>
      <c r="L16" s="4">
        <v>0</v>
      </c>
      <c r="M16" s="4">
        <v>0</v>
      </c>
      <c r="O16" s="6">
        <f t="shared" si="1"/>
        <v>0.23333333333333334</v>
      </c>
      <c r="P16" s="8">
        <f t="shared" si="2"/>
        <v>0</v>
      </c>
      <c r="Q16" s="8">
        <f t="shared" si="3"/>
        <v>0</v>
      </c>
      <c r="R16" s="4">
        <f t="shared" si="4"/>
        <v>0</v>
      </c>
      <c r="S16" s="4">
        <f t="shared" si="5"/>
        <v>0</v>
      </c>
    </row>
    <row r="17" spans="1:20" x14ac:dyDescent="0.3">
      <c r="A17" s="4" t="s">
        <v>31</v>
      </c>
      <c r="B17" s="3" t="s">
        <v>32</v>
      </c>
      <c r="C17" s="4">
        <v>31</v>
      </c>
      <c r="D17" s="4">
        <v>19</v>
      </c>
      <c r="E17" s="4">
        <v>1789</v>
      </c>
      <c r="F17" s="4">
        <v>5</v>
      </c>
      <c r="G17" s="4">
        <v>4</v>
      </c>
      <c r="H17" s="5">
        <f t="shared" si="7"/>
        <v>9</v>
      </c>
      <c r="I17" s="5">
        <f t="shared" si="0"/>
        <v>2</v>
      </c>
      <c r="J17" s="4">
        <v>3</v>
      </c>
      <c r="K17" s="4">
        <v>3</v>
      </c>
      <c r="L17" s="4">
        <v>7</v>
      </c>
      <c r="M17" s="4">
        <v>2</v>
      </c>
      <c r="O17" s="6">
        <f t="shared" si="1"/>
        <v>19.877777777777776</v>
      </c>
      <c r="P17" s="8">
        <f t="shared" si="2"/>
        <v>5.5555555555555552E-2</v>
      </c>
      <c r="Q17" s="8">
        <f t="shared" si="3"/>
        <v>4.4444444444444446E-2</v>
      </c>
      <c r="R17" s="4">
        <f t="shared" si="4"/>
        <v>2.2222222222222223E-2</v>
      </c>
      <c r="S17" s="4">
        <f t="shared" si="5"/>
        <v>0.1</v>
      </c>
      <c r="T17" s="4">
        <f t="shared" si="6"/>
        <v>198.77777777777777</v>
      </c>
    </row>
    <row r="18" spans="1:20" x14ac:dyDescent="0.3">
      <c r="A18" s="4" t="s">
        <v>34</v>
      </c>
      <c r="B18" s="3" t="s">
        <v>30</v>
      </c>
      <c r="C18" s="4">
        <v>13</v>
      </c>
      <c r="D18" s="4">
        <v>5</v>
      </c>
      <c r="E18" s="4">
        <v>468</v>
      </c>
      <c r="F18" s="4">
        <v>0</v>
      </c>
      <c r="G18" s="4">
        <v>0</v>
      </c>
      <c r="H18" s="5">
        <f t="shared" si="7"/>
        <v>0</v>
      </c>
      <c r="I18" s="5">
        <f t="shared" si="0"/>
        <v>0</v>
      </c>
      <c r="J18" s="4">
        <v>0</v>
      </c>
      <c r="K18" s="4">
        <v>0</v>
      </c>
      <c r="L18" s="4">
        <v>1</v>
      </c>
      <c r="M18" s="4">
        <v>0</v>
      </c>
      <c r="O18" s="6">
        <f t="shared" si="1"/>
        <v>5.2</v>
      </c>
      <c r="P18" s="8">
        <f t="shared" si="2"/>
        <v>0</v>
      </c>
      <c r="Q18" s="8">
        <f t="shared" si="3"/>
        <v>0</v>
      </c>
      <c r="R18" s="4">
        <f t="shared" si="4"/>
        <v>0</v>
      </c>
      <c r="S18" s="4">
        <f t="shared" si="5"/>
        <v>0</v>
      </c>
    </row>
    <row r="19" spans="1:20" x14ac:dyDescent="0.3">
      <c r="A19" s="4" t="s">
        <v>35</v>
      </c>
      <c r="B19" s="3" t="s">
        <v>26</v>
      </c>
      <c r="C19" s="4">
        <v>25</v>
      </c>
      <c r="D19" s="4">
        <v>16</v>
      </c>
      <c r="E19" s="4">
        <v>1390</v>
      </c>
      <c r="F19" s="4">
        <v>2</v>
      </c>
      <c r="G19" s="4">
        <v>1</v>
      </c>
      <c r="H19" s="5">
        <f t="shared" si="7"/>
        <v>3</v>
      </c>
      <c r="I19" s="5">
        <f t="shared" si="0"/>
        <v>2</v>
      </c>
      <c r="J19" s="4">
        <v>0</v>
      </c>
      <c r="K19" s="4">
        <v>0</v>
      </c>
      <c r="L19" s="4">
        <v>0</v>
      </c>
      <c r="M19" s="4">
        <v>0</v>
      </c>
      <c r="O19" s="6">
        <f t="shared" si="1"/>
        <v>15.444444444444445</v>
      </c>
      <c r="P19" s="8">
        <f t="shared" si="2"/>
        <v>2.2222222222222223E-2</v>
      </c>
      <c r="Q19" s="8">
        <f t="shared" si="3"/>
        <v>1.1111111111111112E-2</v>
      </c>
      <c r="R19" s="4">
        <f t="shared" si="4"/>
        <v>2.2222222222222223E-2</v>
      </c>
      <c r="S19" s="4">
        <f t="shared" si="5"/>
        <v>3.3333333333333333E-2</v>
      </c>
      <c r="T19" s="4">
        <f t="shared" si="6"/>
        <v>463.33333333333331</v>
      </c>
    </row>
    <row r="20" spans="1:20" x14ac:dyDescent="0.3">
      <c r="A20" s="4" t="s">
        <v>37</v>
      </c>
      <c r="B20" s="3" t="s">
        <v>26</v>
      </c>
      <c r="C20" s="4">
        <v>32</v>
      </c>
      <c r="D20" s="4">
        <v>21</v>
      </c>
      <c r="E20" s="4">
        <v>1987</v>
      </c>
      <c r="F20" s="4">
        <v>1</v>
      </c>
      <c r="G20" s="4">
        <v>3</v>
      </c>
      <c r="H20" s="5">
        <f t="shared" si="7"/>
        <v>4</v>
      </c>
      <c r="I20" s="5">
        <f t="shared" si="0"/>
        <v>1</v>
      </c>
      <c r="J20" s="4">
        <v>0</v>
      </c>
      <c r="K20" s="4">
        <v>0</v>
      </c>
      <c r="L20" s="4">
        <v>3</v>
      </c>
      <c r="M20" s="4">
        <v>2</v>
      </c>
      <c r="O20" s="6">
        <f t="shared" si="1"/>
        <v>22.077777777777779</v>
      </c>
      <c r="P20" s="8">
        <f t="shared" si="2"/>
        <v>1.1111111111111112E-2</v>
      </c>
      <c r="Q20" s="8">
        <f t="shared" si="3"/>
        <v>3.3333333333333333E-2</v>
      </c>
      <c r="R20" s="4">
        <f t="shared" si="4"/>
        <v>1.1111111111111112E-2</v>
      </c>
      <c r="S20" s="4">
        <f t="shared" si="5"/>
        <v>4.4444444444444446E-2</v>
      </c>
      <c r="T20" s="4">
        <f t="shared" si="6"/>
        <v>496.75</v>
      </c>
    </row>
    <row r="21" spans="1:20" x14ac:dyDescent="0.3">
      <c r="A21" s="4" t="s">
        <v>38</v>
      </c>
      <c r="B21" s="3" t="s">
        <v>26</v>
      </c>
      <c r="C21" s="4">
        <v>28</v>
      </c>
      <c r="D21" s="4">
        <v>21</v>
      </c>
      <c r="E21" s="4">
        <v>2017</v>
      </c>
      <c r="F21" s="4">
        <v>1</v>
      </c>
      <c r="G21" s="4">
        <v>2</v>
      </c>
      <c r="H21" s="5">
        <f t="shared" si="7"/>
        <v>3</v>
      </c>
      <c r="I21" s="5">
        <f t="shared" si="0"/>
        <v>1</v>
      </c>
      <c r="J21" s="4">
        <v>0</v>
      </c>
      <c r="K21" s="4">
        <v>0</v>
      </c>
      <c r="L21" s="4">
        <v>6</v>
      </c>
      <c r="M21" s="4">
        <v>0</v>
      </c>
      <c r="O21" s="6">
        <f t="shared" si="1"/>
        <v>22.411111111111111</v>
      </c>
      <c r="P21" s="8">
        <f t="shared" si="2"/>
        <v>1.1111111111111112E-2</v>
      </c>
      <c r="Q21" s="8">
        <f t="shared" si="3"/>
        <v>2.2222222222222223E-2</v>
      </c>
      <c r="R21" s="4">
        <f t="shared" si="4"/>
        <v>1.1111111111111112E-2</v>
      </c>
      <c r="S21" s="4">
        <f t="shared" si="5"/>
        <v>3.3333333333333333E-2</v>
      </c>
      <c r="T21" s="4">
        <f t="shared" si="6"/>
        <v>672.33333333333337</v>
      </c>
    </row>
    <row r="22" spans="1:20" x14ac:dyDescent="0.3">
      <c r="B22" s="3"/>
      <c r="F22" s="10">
        <f t="shared" ref="F22:G22" si="10">SUM(F14:F21)</f>
        <v>18</v>
      </c>
      <c r="G22" s="10">
        <f t="shared" si="10"/>
        <v>13</v>
      </c>
      <c r="H22" s="10">
        <f>SUM(H14:H21)</f>
        <v>31</v>
      </c>
      <c r="I22" s="5"/>
      <c r="O22" s="6"/>
      <c r="P22" s="8">
        <f>SUM(P14:P21)</f>
        <v>0.19999999999999998</v>
      </c>
      <c r="Q22" s="8">
        <f t="shared" ref="Q22:S22" si="11">SUM(Q14:Q21)</f>
        <v>0.14444444444444446</v>
      </c>
      <c r="R22" s="8">
        <f t="shared" si="11"/>
        <v>0.16666666666666666</v>
      </c>
      <c r="S22" s="8">
        <f t="shared" si="11"/>
        <v>0.34444444444444444</v>
      </c>
    </row>
    <row r="23" spans="1:20" x14ac:dyDescent="0.3">
      <c r="A23" s="1" t="s">
        <v>39</v>
      </c>
      <c r="B23" s="3"/>
      <c r="H23" s="5"/>
      <c r="I23" s="5"/>
      <c r="O23" s="6"/>
      <c r="P23" s="8"/>
      <c r="Q23" s="8"/>
    </row>
    <row r="24" spans="1:20" x14ac:dyDescent="0.3">
      <c r="A24" s="4" t="s">
        <v>40</v>
      </c>
      <c r="B24" s="3" t="s">
        <v>41</v>
      </c>
      <c r="C24" s="4">
        <v>38</v>
      </c>
      <c r="D24" s="4">
        <v>37</v>
      </c>
      <c r="E24" s="4">
        <v>3250</v>
      </c>
      <c r="F24" s="4">
        <v>22</v>
      </c>
      <c r="G24" s="4">
        <v>8</v>
      </c>
      <c r="H24" s="5">
        <f t="shared" si="7"/>
        <v>30</v>
      </c>
      <c r="I24" s="5">
        <f t="shared" si="0"/>
        <v>19</v>
      </c>
      <c r="J24" s="4">
        <v>3</v>
      </c>
      <c r="K24" s="4">
        <v>3</v>
      </c>
      <c r="L24" s="4">
        <v>1</v>
      </c>
      <c r="M24" s="4">
        <v>0</v>
      </c>
      <c r="O24" s="6">
        <f t="shared" si="1"/>
        <v>36.111111111111114</v>
      </c>
      <c r="P24" s="8">
        <f t="shared" si="2"/>
        <v>0.24444444444444444</v>
      </c>
      <c r="Q24" s="8">
        <f t="shared" si="3"/>
        <v>8.8888888888888892E-2</v>
      </c>
      <c r="R24" s="4">
        <f t="shared" si="4"/>
        <v>0.21111111111111111</v>
      </c>
      <c r="S24" s="4">
        <f t="shared" si="5"/>
        <v>0.33333333333333331</v>
      </c>
      <c r="T24" s="4">
        <f t="shared" si="6"/>
        <v>108.33333333333333</v>
      </c>
    </row>
    <row r="25" spans="1:20" x14ac:dyDescent="0.3">
      <c r="A25" s="4" t="s">
        <v>42</v>
      </c>
      <c r="B25" s="3" t="s">
        <v>41</v>
      </c>
      <c r="C25" s="4">
        <v>12</v>
      </c>
      <c r="D25" s="4">
        <v>4</v>
      </c>
      <c r="E25" s="4">
        <v>371</v>
      </c>
      <c r="F25" s="4">
        <v>3</v>
      </c>
      <c r="G25" s="4">
        <v>1</v>
      </c>
      <c r="H25" s="5">
        <f t="shared" si="7"/>
        <v>4</v>
      </c>
      <c r="I25" s="5">
        <f t="shared" si="0"/>
        <v>3</v>
      </c>
      <c r="J25" s="4">
        <v>0</v>
      </c>
      <c r="K25" s="4">
        <v>0</v>
      </c>
      <c r="L25" s="4">
        <v>0</v>
      </c>
      <c r="M25" s="4">
        <v>0</v>
      </c>
      <c r="O25" s="6">
        <f t="shared" si="1"/>
        <v>4.1222222222222218</v>
      </c>
      <c r="P25" s="8">
        <f t="shared" si="2"/>
        <v>3.3333333333333333E-2</v>
      </c>
      <c r="Q25" s="8">
        <f t="shared" si="3"/>
        <v>1.1111111111111112E-2</v>
      </c>
      <c r="R25" s="4">
        <f t="shared" si="4"/>
        <v>3.3333333333333333E-2</v>
      </c>
      <c r="S25" s="4">
        <f t="shared" si="5"/>
        <v>4.4444444444444446E-2</v>
      </c>
      <c r="T25" s="4">
        <f t="shared" si="6"/>
        <v>92.75</v>
      </c>
    </row>
    <row r="26" spans="1:20" x14ac:dyDescent="0.3">
      <c r="A26" s="4" t="s">
        <v>43</v>
      </c>
      <c r="B26" s="3" t="s">
        <v>41</v>
      </c>
      <c r="C26" s="4">
        <v>36</v>
      </c>
      <c r="D26" s="4">
        <v>35</v>
      </c>
      <c r="E26" s="4">
        <v>3077</v>
      </c>
      <c r="F26" s="4">
        <v>22</v>
      </c>
      <c r="G26" s="4">
        <v>1</v>
      </c>
      <c r="H26" s="5">
        <f t="shared" si="7"/>
        <v>23</v>
      </c>
      <c r="I26" s="5">
        <f t="shared" si="0"/>
        <v>22</v>
      </c>
      <c r="J26" s="4">
        <v>0</v>
      </c>
      <c r="K26" s="4">
        <v>0</v>
      </c>
      <c r="L26" s="4">
        <v>2</v>
      </c>
      <c r="M26" s="4">
        <v>0</v>
      </c>
      <c r="O26" s="6">
        <f t="shared" si="1"/>
        <v>34.18888888888889</v>
      </c>
      <c r="P26" s="8">
        <f t="shared" si="2"/>
        <v>0.24444444444444444</v>
      </c>
      <c r="Q26" s="8">
        <f t="shared" si="3"/>
        <v>1.1111111111111112E-2</v>
      </c>
      <c r="R26" s="4">
        <f t="shared" si="4"/>
        <v>0.24444444444444444</v>
      </c>
      <c r="S26" s="4">
        <f t="shared" si="5"/>
        <v>0.25555555555555554</v>
      </c>
      <c r="T26" s="4">
        <f t="shared" si="6"/>
        <v>133.78260869565219</v>
      </c>
    </row>
    <row r="27" spans="1:20" x14ac:dyDescent="0.3">
      <c r="A27" s="4" t="s">
        <v>44</v>
      </c>
      <c r="B27" s="3" t="s">
        <v>41</v>
      </c>
      <c r="C27" s="4">
        <v>34</v>
      </c>
      <c r="D27" s="4">
        <v>31</v>
      </c>
      <c r="E27" s="4">
        <v>2607</v>
      </c>
      <c r="F27" s="4">
        <v>12</v>
      </c>
      <c r="G27" s="4">
        <v>6</v>
      </c>
      <c r="H27" s="5">
        <f t="shared" si="7"/>
        <v>18</v>
      </c>
      <c r="I27" s="5">
        <f t="shared" si="0"/>
        <v>11</v>
      </c>
      <c r="J27" s="4">
        <v>1</v>
      </c>
      <c r="K27" s="4">
        <v>1</v>
      </c>
      <c r="L27" s="4">
        <v>0</v>
      </c>
      <c r="M27" s="4">
        <v>0</v>
      </c>
      <c r="O27" s="6">
        <f t="shared" si="1"/>
        <v>28.966666666666665</v>
      </c>
      <c r="P27" s="8">
        <f t="shared" si="2"/>
        <v>0.13333333333333333</v>
      </c>
      <c r="Q27" s="8">
        <f t="shared" si="3"/>
        <v>6.6666666666666666E-2</v>
      </c>
      <c r="R27" s="4">
        <f t="shared" si="4"/>
        <v>0.12222222222222222</v>
      </c>
      <c r="S27" s="4">
        <f t="shared" si="5"/>
        <v>0.2</v>
      </c>
      <c r="T27" s="4">
        <f t="shared" si="6"/>
        <v>144.83333333333334</v>
      </c>
    </row>
    <row r="28" spans="1:20" x14ac:dyDescent="0.3">
      <c r="A28" s="4" t="s">
        <v>54</v>
      </c>
      <c r="B28" s="3" t="s">
        <v>41</v>
      </c>
      <c r="C28" s="4">
        <v>18</v>
      </c>
      <c r="D28" s="4">
        <v>4</v>
      </c>
      <c r="E28" s="4">
        <v>509</v>
      </c>
      <c r="F28" s="4">
        <v>2</v>
      </c>
      <c r="G28" s="4">
        <v>1</v>
      </c>
      <c r="H28" s="7">
        <f t="shared" si="7"/>
        <v>3</v>
      </c>
      <c r="I28" s="7">
        <f t="shared" si="0"/>
        <v>2</v>
      </c>
      <c r="J28" s="4">
        <v>0</v>
      </c>
      <c r="K28" s="4">
        <v>0</v>
      </c>
      <c r="L28" s="4">
        <v>1</v>
      </c>
      <c r="M28" s="4">
        <v>0</v>
      </c>
      <c r="O28" s="6">
        <f t="shared" si="1"/>
        <v>5.6555555555555559</v>
      </c>
      <c r="P28" s="8">
        <f t="shared" si="2"/>
        <v>2.2222222222222223E-2</v>
      </c>
      <c r="Q28" s="8">
        <f t="shared" si="3"/>
        <v>1.1111111111111112E-2</v>
      </c>
      <c r="R28" s="4">
        <f t="shared" si="4"/>
        <v>2.2222222222222223E-2</v>
      </c>
      <c r="S28" s="4">
        <f t="shared" si="5"/>
        <v>3.3333333333333333E-2</v>
      </c>
      <c r="T28" s="4">
        <f t="shared" si="6"/>
        <v>169.66666666666666</v>
      </c>
    </row>
    <row r="29" spans="1:20" x14ac:dyDescent="0.3">
      <c r="A29" s="4">
        <f>COUNTA(A24:A28,A14:A21,A6:A11,A3)</f>
        <v>20</v>
      </c>
      <c r="E29" s="4">
        <f>AVERAGE(E24:E28,E14:E21,E6:E11,E3)</f>
        <v>1867.15</v>
      </c>
      <c r="F29" s="10">
        <f t="shared" ref="F29:G29" si="12">SUM(F24:F28)</f>
        <v>61</v>
      </c>
      <c r="G29" s="10">
        <f t="shared" si="12"/>
        <v>17</v>
      </c>
      <c r="H29" s="10">
        <f>SUM(H24:H28)</f>
        <v>78</v>
      </c>
      <c r="L29" s="4">
        <f>SUM(L24:L28, L14:L21,L3,L6:L11)</f>
        <v>41</v>
      </c>
      <c r="M29" s="4">
        <f>SUM(M24:M28, M14:M21,M3,M6:M11)</f>
        <v>4</v>
      </c>
      <c r="P29" s="8">
        <f>SUM(P24:P28)</f>
        <v>0.67777777777777781</v>
      </c>
      <c r="Q29" s="8">
        <f t="shared" ref="Q29:S29" si="13">SUM(Q24:Q28)</f>
        <v>0.18888888888888888</v>
      </c>
      <c r="R29" s="8">
        <f t="shared" si="13"/>
        <v>0.6333333333333333</v>
      </c>
      <c r="S29" s="8">
        <f t="shared" si="13"/>
        <v>0.86666666666666659</v>
      </c>
    </row>
    <row r="30" spans="1:20" x14ac:dyDescent="0.3">
      <c r="F30" s="4">
        <f>SUM(F24:F28,F14:F21,F6:F11)</f>
        <v>86</v>
      </c>
      <c r="G30" s="4">
        <f t="shared" ref="G30:H30" si="14">SUM(G24:G28,G14:G21,G6:G11)</f>
        <v>55</v>
      </c>
      <c r="H30" s="4">
        <f t="shared" si="14"/>
        <v>141</v>
      </c>
      <c r="S30" s="4">
        <f>AVERAGE(S24:S29,S14:S22,S6:S12,S3)</f>
        <v>0.13623188405797101</v>
      </c>
    </row>
    <row r="32" spans="1:20" x14ac:dyDescent="0.3">
      <c r="A32" s="1" t="s">
        <v>76</v>
      </c>
    </row>
    <row r="33" spans="1:8" ht="15.6" customHeight="1" x14ac:dyDescent="0.3">
      <c r="A33" s="35" t="s">
        <v>77</v>
      </c>
      <c r="B33" s="35"/>
      <c r="C33" s="35"/>
      <c r="D33" s="35"/>
      <c r="E33" s="35"/>
      <c r="F33" s="35"/>
      <c r="G33" s="35"/>
      <c r="H33" s="35"/>
    </row>
    <row r="34" spans="1:8" x14ac:dyDescent="0.3">
      <c r="A34" s="35"/>
      <c r="B34" s="35"/>
      <c r="C34" s="35"/>
      <c r="D34" s="35"/>
      <c r="E34" s="35"/>
      <c r="F34" s="35"/>
      <c r="G34" s="35"/>
      <c r="H34" s="35"/>
    </row>
    <row r="35" spans="1:8" x14ac:dyDescent="0.3">
      <c r="A35" s="35"/>
      <c r="B35" s="35"/>
      <c r="C35" s="35"/>
      <c r="D35" s="35"/>
      <c r="E35" s="35"/>
      <c r="F35" s="35"/>
      <c r="G35" s="35"/>
      <c r="H35" s="35"/>
    </row>
    <row r="36" spans="1:8" x14ac:dyDescent="0.3">
      <c r="A36" s="35" t="s">
        <v>78</v>
      </c>
      <c r="B36" s="35"/>
      <c r="C36" s="35"/>
      <c r="D36" s="35"/>
      <c r="E36" s="35"/>
      <c r="F36" s="35"/>
      <c r="G36" s="35"/>
      <c r="H36" s="35"/>
    </row>
    <row r="37" spans="1:8" x14ac:dyDescent="0.3">
      <c r="A37" s="35"/>
      <c r="B37" s="35"/>
      <c r="C37" s="35"/>
      <c r="D37" s="35"/>
      <c r="E37" s="35"/>
      <c r="F37" s="35"/>
      <c r="G37" s="35"/>
      <c r="H37" s="35"/>
    </row>
    <row r="38" spans="1:8" x14ac:dyDescent="0.3">
      <c r="A38" s="35" t="s">
        <v>79</v>
      </c>
      <c r="B38" s="35"/>
      <c r="C38" s="35"/>
      <c r="D38" s="35"/>
      <c r="E38" s="35"/>
      <c r="F38" s="35"/>
      <c r="G38" s="35"/>
      <c r="H38" s="35"/>
    </row>
    <row r="39" spans="1:8" x14ac:dyDescent="0.3">
      <c r="A39" s="35"/>
      <c r="B39" s="35"/>
      <c r="C39" s="35"/>
      <c r="D39" s="35"/>
      <c r="E39" s="35"/>
      <c r="F39" s="35"/>
      <c r="G39" s="35"/>
      <c r="H39" s="35"/>
    </row>
    <row r="40" spans="1:8" ht="15.6" customHeight="1" x14ac:dyDescent="0.3">
      <c r="A40" s="35" t="s">
        <v>80</v>
      </c>
      <c r="B40" s="35"/>
      <c r="C40" s="35"/>
      <c r="D40" s="35"/>
      <c r="E40" s="35"/>
      <c r="F40" s="35"/>
      <c r="G40" s="35"/>
      <c r="H40" s="35"/>
    </row>
    <row r="41" spans="1:8" x14ac:dyDescent="0.3">
      <c r="A41" s="35"/>
      <c r="B41" s="35"/>
      <c r="C41" s="35"/>
      <c r="D41" s="35"/>
      <c r="E41" s="35"/>
      <c r="F41" s="35"/>
      <c r="G41" s="35"/>
      <c r="H41" s="35"/>
    </row>
    <row r="42" spans="1:8" x14ac:dyDescent="0.3">
      <c r="A42" s="35"/>
      <c r="B42" s="35"/>
      <c r="C42" s="35"/>
      <c r="D42" s="35"/>
      <c r="E42" s="35"/>
      <c r="F42" s="35"/>
      <c r="G42" s="35"/>
      <c r="H42" s="35"/>
    </row>
    <row r="43" spans="1:8" x14ac:dyDescent="0.3">
      <c r="A43" s="35"/>
      <c r="B43" s="35"/>
      <c r="C43" s="35"/>
      <c r="D43" s="35"/>
      <c r="E43" s="35"/>
      <c r="F43" s="35"/>
      <c r="G43" s="35"/>
      <c r="H43" s="35"/>
    </row>
  </sheetData>
  <mergeCells count="6">
    <mergeCell ref="A38:H39"/>
    <mergeCell ref="A40:H43"/>
    <mergeCell ref="T1:T2"/>
    <mergeCell ref="O1:S1"/>
    <mergeCell ref="A33:H35"/>
    <mergeCell ref="A36:H37"/>
  </mergeCells>
  <conditionalFormatting sqref="C3:C28">
    <cfRule type="cellIs" dxfId="15" priority="15" operator="greaterThan">
      <formula>30</formula>
    </cfRule>
  </conditionalFormatting>
  <conditionalFormatting sqref="E3:E28">
    <cfRule type="cellIs" dxfId="14" priority="1" operator="greaterThan">
      <formula>1500</formula>
    </cfRule>
  </conditionalFormatting>
  <conditionalFormatting sqref="F3:F11 F13:F21 F23:F28">
    <cfRule type="colorScale" priority="44">
      <colorScale>
        <cfvo type="min"/>
        <cfvo type="percentile" val="50"/>
        <cfvo type="max"/>
        <color rgb="FFF8696B"/>
        <color rgb="FFFCFCFF"/>
        <color rgb="FF63BE7B"/>
      </colorScale>
    </cfRule>
  </conditionalFormatting>
  <conditionalFormatting sqref="G3:G11 G13:G21 G23:G28">
    <cfRule type="colorScale" priority="46">
      <colorScale>
        <cfvo type="min"/>
        <cfvo type="percentile" val="50"/>
        <cfvo type="max"/>
        <color rgb="FFF8696B"/>
        <color rgb="FFFCFCFF"/>
        <color rgb="FF63BE7B"/>
      </colorScale>
    </cfRule>
  </conditionalFormatting>
  <conditionalFormatting sqref="O3:O28">
    <cfRule type="colorScale" priority="2">
      <colorScale>
        <cfvo type="min"/>
        <cfvo type="percentile" val="50"/>
        <cfvo type="max"/>
        <color rgb="FFF8696B"/>
        <color rgb="FFFCFCFF"/>
        <color rgb="FF63BE7B"/>
      </colorScale>
    </cfRule>
  </conditionalFormatting>
  <conditionalFormatting sqref="P3:P28 Q12:S12 Q22:S22">
    <cfRule type="colorScale" priority="10">
      <colorScale>
        <cfvo type="min"/>
        <cfvo type="percentile" val="50"/>
        <cfvo type="max"/>
        <color rgb="FFF8696B"/>
        <color rgb="FFFCFCFF"/>
        <color rgb="FF63BE7B"/>
      </colorScale>
    </cfRule>
  </conditionalFormatting>
  <conditionalFormatting sqref="Q3:Q11 Q13:Q21 Q23:Q28">
    <cfRule type="colorScale" priority="9">
      <colorScale>
        <cfvo type="min"/>
        <cfvo type="percentile" val="50"/>
        <cfvo type="max"/>
        <color rgb="FFF8696B"/>
        <color rgb="FFFCFCFF"/>
        <color rgb="FF63BE7B"/>
      </colorScale>
    </cfRule>
  </conditionalFormatting>
  <conditionalFormatting sqref="R3:R11 R13:R21 R23:R28">
    <cfRule type="colorScale" priority="7">
      <colorScale>
        <cfvo type="min"/>
        <cfvo type="percentile" val="50"/>
        <cfvo type="max"/>
        <color rgb="FFF8696B"/>
        <color rgb="FFFCFCFF"/>
        <color rgb="FF63BE7B"/>
      </colorScale>
    </cfRule>
  </conditionalFormatting>
  <conditionalFormatting sqref="S3:S11 S13:S21 S23:S28">
    <cfRule type="colorScale" priority="6">
      <colorScale>
        <cfvo type="min"/>
        <cfvo type="percentile" val="50"/>
        <cfvo type="max"/>
        <color rgb="FFF8696B"/>
        <color rgb="FFFCFCFF"/>
        <color rgb="FF63BE7B"/>
      </colorScale>
    </cfRule>
  </conditionalFormatting>
  <conditionalFormatting sqref="T6:T28">
    <cfRule type="colorScale" priority="3">
      <colorScale>
        <cfvo type="min"/>
        <cfvo type="percentile" val="50"/>
        <cfvo type="max"/>
        <color rgb="FFF8696B"/>
        <color rgb="FFFCFCFF"/>
        <color rgb="FF63BE7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68C5-F701-4921-BA77-B2CF8B0E64F9}">
  <dimension ref="A1:T42"/>
  <sheetViews>
    <sheetView zoomScale="79" zoomScaleNormal="90" workbookViewId="0">
      <selection activeCell="AL26" sqref="AL26"/>
    </sheetView>
  </sheetViews>
  <sheetFormatPr defaultRowHeight="15.6" x14ac:dyDescent="0.3"/>
  <cols>
    <col min="1" max="1" width="27.77734375" style="4" bestFit="1" customWidth="1"/>
    <col min="2" max="2" width="14" style="3" customWidth="1"/>
    <col min="3" max="4" width="8.88671875" style="4"/>
    <col min="5" max="5" width="9.77734375" style="4" bestFit="1" customWidth="1"/>
    <col min="6" max="6" width="9.5546875" style="4" bestFit="1" customWidth="1"/>
    <col min="7" max="14" width="8.88671875" style="4"/>
    <col min="15" max="15" width="14.33203125" style="4" bestFit="1" customWidth="1"/>
    <col min="16" max="16384" width="8.88671875" style="4"/>
  </cols>
  <sheetData>
    <row r="1" spans="1:20" s="1" customFormat="1" ht="15.6" customHeight="1" x14ac:dyDescent="0.3">
      <c r="B1" s="2" t="s">
        <v>13</v>
      </c>
      <c r="C1" s="2" t="s">
        <v>3</v>
      </c>
      <c r="D1" s="2" t="s">
        <v>4</v>
      </c>
      <c r="E1" s="2" t="s">
        <v>5</v>
      </c>
      <c r="F1" s="2" t="s">
        <v>6</v>
      </c>
      <c r="G1" s="2" t="s">
        <v>7</v>
      </c>
      <c r="H1" s="2" t="s">
        <v>8</v>
      </c>
      <c r="I1" s="2" t="s">
        <v>9</v>
      </c>
      <c r="J1" s="2" t="s">
        <v>33</v>
      </c>
      <c r="K1" s="2" t="s">
        <v>10</v>
      </c>
      <c r="L1" s="2" t="s">
        <v>11</v>
      </c>
      <c r="M1" s="2" t="s">
        <v>12</v>
      </c>
      <c r="O1" s="37" t="s">
        <v>46</v>
      </c>
      <c r="P1" s="37"/>
      <c r="Q1" s="37"/>
      <c r="R1" s="37"/>
      <c r="S1" s="37"/>
      <c r="T1" s="38" t="s">
        <v>52</v>
      </c>
    </row>
    <row r="2" spans="1:20" x14ac:dyDescent="0.3">
      <c r="A2" s="1" t="s">
        <v>0</v>
      </c>
      <c r="O2" s="1" t="s">
        <v>45</v>
      </c>
      <c r="P2" s="2" t="s">
        <v>6</v>
      </c>
      <c r="Q2" s="2" t="s">
        <v>7</v>
      </c>
      <c r="R2" s="2" t="s">
        <v>9</v>
      </c>
      <c r="S2" s="2" t="s">
        <v>8</v>
      </c>
      <c r="T2" s="36"/>
    </row>
    <row r="3" spans="1:20" x14ac:dyDescent="0.3">
      <c r="A3" s="4" t="s">
        <v>1</v>
      </c>
      <c r="B3" s="3" t="s">
        <v>21</v>
      </c>
      <c r="C3" s="4">
        <v>29</v>
      </c>
      <c r="D3" s="4">
        <v>29</v>
      </c>
      <c r="E3" s="4">
        <v>2543</v>
      </c>
      <c r="F3" s="4">
        <v>0</v>
      </c>
      <c r="G3" s="4">
        <v>1</v>
      </c>
      <c r="H3" s="5">
        <f>SUM(F3,G3)</f>
        <v>1</v>
      </c>
      <c r="I3" s="5">
        <f>F3-J3</f>
        <v>0</v>
      </c>
      <c r="J3" s="4">
        <v>0</v>
      </c>
      <c r="K3" s="4">
        <v>0</v>
      </c>
      <c r="L3" s="4">
        <v>0</v>
      </c>
      <c r="M3" s="4">
        <v>1</v>
      </c>
      <c r="O3" s="6">
        <f>E3/90</f>
        <v>28.255555555555556</v>
      </c>
      <c r="P3" s="6">
        <f>F3/90</f>
        <v>0</v>
      </c>
      <c r="Q3" s="6">
        <f>G3/90</f>
        <v>1.1111111111111112E-2</v>
      </c>
      <c r="R3" s="4">
        <f>I3/90</f>
        <v>0</v>
      </c>
      <c r="S3" s="6">
        <f>H3/90</f>
        <v>1.1111111111111112E-2</v>
      </c>
      <c r="T3" s="4">
        <f>E3/H3</f>
        <v>2543</v>
      </c>
    </row>
    <row r="4" spans="1:20" x14ac:dyDescent="0.3">
      <c r="A4" s="4" t="s">
        <v>2</v>
      </c>
      <c r="B4" s="3" t="s">
        <v>21</v>
      </c>
      <c r="C4" s="4">
        <v>11</v>
      </c>
      <c r="D4" s="4">
        <v>9</v>
      </c>
      <c r="E4" s="4">
        <v>875</v>
      </c>
      <c r="F4" s="4">
        <v>0</v>
      </c>
      <c r="G4" s="4">
        <v>0</v>
      </c>
      <c r="H4" s="5">
        <f>SUM(F4,G4)</f>
        <v>0</v>
      </c>
      <c r="I4" s="5">
        <f t="shared" ref="I4:I30" si="0">F4-J4</f>
        <v>0</v>
      </c>
      <c r="J4" s="4">
        <v>0</v>
      </c>
      <c r="K4" s="4">
        <v>0</v>
      </c>
      <c r="L4" s="4">
        <v>1</v>
      </c>
      <c r="M4" s="4">
        <v>0</v>
      </c>
      <c r="O4" s="6">
        <f t="shared" ref="O4:O30" si="1">E4/90</f>
        <v>9.7222222222222214</v>
      </c>
      <c r="P4" s="6">
        <f t="shared" ref="P4:Q30" si="2">F4/90</f>
        <v>0</v>
      </c>
      <c r="Q4" s="6">
        <f t="shared" si="2"/>
        <v>0</v>
      </c>
      <c r="R4" s="4">
        <f t="shared" ref="R4:R30" si="3">I4/90</f>
        <v>0</v>
      </c>
      <c r="S4" s="6">
        <f t="shared" ref="S4:S30" si="4">H4/90</f>
        <v>0</v>
      </c>
    </row>
    <row r="5" spans="1:20" x14ac:dyDescent="0.3">
      <c r="H5" s="5"/>
      <c r="I5" s="5"/>
      <c r="O5" s="6"/>
      <c r="P5" s="6"/>
      <c r="Q5" s="6"/>
      <c r="S5" s="6"/>
    </row>
    <row r="6" spans="1:20" x14ac:dyDescent="0.3">
      <c r="A6" s="1" t="s">
        <v>14</v>
      </c>
      <c r="H6" s="5"/>
      <c r="I6" s="5"/>
      <c r="O6" s="6"/>
      <c r="P6" s="6"/>
      <c r="Q6" s="6"/>
      <c r="S6" s="6"/>
    </row>
    <row r="7" spans="1:20" x14ac:dyDescent="0.3">
      <c r="A7" s="4" t="s">
        <v>15</v>
      </c>
      <c r="B7" s="3" t="s">
        <v>20</v>
      </c>
      <c r="C7" s="4">
        <v>38</v>
      </c>
      <c r="D7" s="4">
        <v>38</v>
      </c>
      <c r="E7" s="4">
        <v>3420</v>
      </c>
      <c r="F7" s="4">
        <v>5</v>
      </c>
      <c r="G7" s="4">
        <v>1</v>
      </c>
      <c r="H7" s="5">
        <f>SUM(F7,G7)</f>
        <v>6</v>
      </c>
      <c r="I7" s="5">
        <f t="shared" si="0"/>
        <v>5</v>
      </c>
      <c r="J7" s="4">
        <v>0</v>
      </c>
      <c r="K7" s="4">
        <v>0</v>
      </c>
      <c r="L7" s="4">
        <v>1</v>
      </c>
      <c r="M7" s="4">
        <v>0</v>
      </c>
      <c r="O7" s="6">
        <f t="shared" si="1"/>
        <v>38</v>
      </c>
      <c r="P7" s="6">
        <f t="shared" si="2"/>
        <v>5.5555555555555552E-2</v>
      </c>
      <c r="Q7" s="6">
        <f t="shared" si="2"/>
        <v>1.1111111111111112E-2</v>
      </c>
      <c r="R7" s="4">
        <f t="shared" si="3"/>
        <v>5.5555555555555552E-2</v>
      </c>
      <c r="S7" s="6">
        <f t="shared" si="4"/>
        <v>6.6666666666666666E-2</v>
      </c>
      <c r="T7" s="4">
        <f t="shared" ref="T7:T30" si="5">E7/H7</f>
        <v>570</v>
      </c>
    </row>
    <row r="8" spans="1:20" x14ac:dyDescent="0.3">
      <c r="A8" s="4" t="s">
        <v>16</v>
      </c>
      <c r="B8" s="3" t="s">
        <v>20</v>
      </c>
      <c r="C8" s="4">
        <v>28</v>
      </c>
      <c r="D8" s="4">
        <v>22</v>
      </c>
      <c r="E8" s="4">
        <v>2004</v>
      </c>
      <c r="F8" s="4">
        <v>0</v>
      </c>
      <c r="G8" s="4">
        <v>0</v>
      </c>
      <c r="H8" s="5">
        <f t="shared" ref="H8:H30" si="6">SUM(F8,G8)</f>
        <v>0</v>
      </c>
      <c r="I8" s="5">
        <f t="shared" si="0"/>
        <v>0</v>
      </c>
      <c r="J8" s="4">
        <v>0</v>
      </c>
      <c r="K8" s="4">
        <v>0</v>
      </c>
      <c r="L8" s="4">
        <v>7</v>
      </c>
      <c r="M8" s="4">
        <v>0</v>
      </c>
      <c r="O8" s="6">
        <f t="shared" si="1"/>
        <v>22.266666666666666</v>
      </c>
      <c r="P8" s="6">
        <f t="shared" si="2"/>
        <v>0</v>
      </c>
      <c r="Q8" s="6">
        <f t="shared" si="2"/>
        <v>0</v>
      </c>
      <c r="R8" s="4">
        <f t="shared" si="3"/>
        <v>0</v>
      </c>
      <c r="S8" s="6">
        <f t="shared" si="4"/>
        <v>0</v>
      </c>
    </row>
    <row r="9" spans="1:20" x14ac:dyDescent="0.3">
      <c r="A9" s="4" t="s">
        <v>17</v>
      </c>
      <c r="B9" s="3" t="s">
        <v>20</v>
      </c>
      <c r="C9" s="4">
        <v>38</v>
      </c>
      <c r="D9" s="4">
        <v>35</v>
      </c>
      <c r="E9" s="4">
        <v>3175</v>
      </c>
      <c r="F9" s="4">
        <v>4</v>
      </c>
      <c r="G9" s="4">
        <v>13</v>
      </c>
      <c r="H9" s="5">
        <f t="shared" si="6"/>
        <v>17</v>
      </c>
      <c r="I9" s="5">
        <f t="shared" si="0"/>
        <v>4</v>
      </c>
      <c r="J9" s="4">
        <v>0</v>
      </c>
      <c r="K9" s="4">
        <v>0</v>
      </c>
      <c r="L9" s="4">
        <v>5</v>
      </c>
      <c r="M9" s="4">
        <v>0</v>
      </c>
      <c r="O9" s="6">
        <f t="shared" si="1"/>
        <v>35.277777777777779</v>
      </c>
      <c r="P9" s="6">
        <f t="shared" si="2"/>
        <v>4.4444444444444446E-2</v>
      </c>
      <c r="Q9" s="6">
        <f t="shared" si="2"/>
        <v>0.14444444444444443</v>
      </c>
      <c r="R9" s="4">
        <f t="shared" si="3"/>
        <v>4.4444444444444446E-2</v>
      </c>
      <c r="S9" s="6">
        <f t="shared" si="4"/>
        <v>0.18888888888888888</v>
      </c>
      <c r="T9" s="4">
        <f t="shared" si="5"/>
        <v>186.76470588235293</v>
      </c>
    </row>
    <row r="10" spans="1:20" x14ac:dyDescent="0.3">
      <c r="A10" s="4" t="s">
        <v>18</v>
      </c>
      <c r="B10" s="3" t="s">
        <v>20</v>
      </c>
      <c r="C10" s="4">
        <v>9</v>
      </c>
      <c r="D10" s="4">
        <v>8</v>
      </c>
      <c r="E10" s="4">
        <v>703</v>
      </c>
      <c r="F10" s="4">
        <v>1</v>
      </c>
      <c r="G10" s="4">
        <v>0</v>
      </c>
      <c r="H10" s="5">
        <f t="shared" si="6"/>
        <v>1</v>
      </c>
      <c r="I10" s="5">
        <f t="shared" si="0"/>
        <v>1</v>
      </c>
      <c r="J10" s="4">
        <v>0</v>
      </c>
      <c r="K10" s="4">
        <v>0</v>
      </c>
      <c r="L10" s="4">
        <v>0</v>
      </c>
      <c r="M10" s="4">
        <v>0</v>
      </c>
      <c r="O10" s="6">
        <f t="shared" si="1"/>
        <v>7.8111111111111109</v>
      </c>
      <c r="P10" s="6">
        <f t="shared" si="2"/>
        <v>1.1111111111111112E-2</v>
      </c>
      <c r="Q10" s="6">
        <f t="shared" si="2"/>
        <v>0</v>
      </c>
      <c r="R10" s="4">
        <f t="shared" si="3"/>
        <v>1.1111111111111112E-2</v>
      </c>
      <c r="S10" s="6">
        <f t="shared" si="4"/>
        <v>1.1111111111111112E-2</v>
      </c>
      <c r="T10" s="4">
        <f t="shared" si="5"/>
        <v>703</v>
      </c>
    </row>
    <row r="11" spans="1:20" x14ac:dyDescent="0.3">
      <c r="A11" s="4" t="s">
        <v>19</v>
      </c>
      <c r="B11" s="3" t="s">
        <v>20</v>
      </c>
      <c r="C11" s="4">
        <v>36</v>
      </c>
      <c r="D11" s="4">
        <v>34</v>
      </c>
      <c r="E11" s="4">
        <v>3111</v>
      </c>
      <c r="F11" s="4">
        <v>2</v>
      </c>
      <c r="G11" s="4">
        <v>12</v>
      </c>
      <c r="H11" s="5">
        <f t="shared" si="6"/>
        <v>14</v>
      </c>
      <c r="I11" s="5">
        <f t="shared" si="0"/>
        <v>2</v>
      </c>
      <c r="J11" s="4">
        <v>0</v>
      </c>
      <c r="K11" s="4">
        <v>0</v>
      </c>
      <c r="L11" s="4">
        <v>2</v>
      </c>
      <c r="M11" s="4">
        <v>0</v>
      </c>
      <c r="O11" s="6">
        <f t="shared" si="1"/>
        <v>34.56666666666667</v>
      </c>
      <c r="P11" s="6">
        <f t="shared" si="2"/>
        <v>2.2222222222222223E-2</v>
      </c>
      <c r="Q11" s="6">
        <f t="shared" si="2"/>
        <v>0.13333333333333333</v>
      </c>
      <c r="R11" s="4">
        <f t="shared" si="3"/>
        <v>2.2222222222222223E-2</v>
      </c>
      <c r="S11" s="6">
        <f t="shared" si="4"/>
        <v>0.15555555555555556</v>
      </c>
      <c r="T11" s="4">
        <f t="shared" si="5"/>
        <v>222.21428571428572</v>
      </c>
    </row>
    <row r="12" spans="1:20" x14ac:dyDescent="0.3">
      <c r="A12" s="4" t="s">
        <v>22</v>
      </c>
      <c r="B12" s="3" t="s">
        <v>20</v>
      </c>
      <c r="C12" s="4">
        <v>10</v>
      </c>
      <c r="D12" s="4">
        <v>9</v>
      </c>
      <c r="E12" s="4">
        <v>777</v>
      </c>
      <c r="F12" s="4">
        <v>0</v>
      </c>
      <c r="G12" s="4">
        <v>1</v>
      </c>
      <c r="H12" s="5">
        <f t="shared" si="6"/>
        <v>1</v>
      </c>
      <c r="I12" s="5">
        <f t="shared" si="0"/>
        <v>0</v>
      </c>
      <c r="J12" s="4">
        <v>0</v>
      </c>
      <c r="K12" s="4">
        <v>0</v>
      </c>
      <c r="L12" s="4">
        <v>1</v>
      </c>
      <c r="M12" s="4">
        <v>0</v>
      </c>
      <c r="O12" s="6">
        <f t="shared" si="1"/>
        <v>8.6333333333333329</v>
      </c>
      <c r="P12" s="6">
        <f t="shared" si="2"/>
        <v>0</v>
      </c>
      <c r="Q12" s="6">
        <f t="shared" si="2"/>
        <v>1.1111111111111112E-2</v>
      </c>
      <c r="R12" s="4">
        <f t="shared" si="3"/>
        <v>0</v>
      </c>
      <c r="S12" s="6">
        <f t="shared" si="4"/>
        <v>1.1111111111111112E-2</v>
      </c>
      <c r="T12" s="4">
        <f t="shared" si="5"/>
        <v>777</v>
      </c>
    </row>
    <row r="13" spans="1:20" x14ac:dyDescent="0.3">
      <c r="A13" s="4" t="s">
        <v>23</v>
      </c>
      <c r="B13" s="3" t="s">
        <v>20</v>
      </c>
      <c r="C13" s="4">
        <v>6</v>
      </c>
      <c r="D13" s="4">
        <v>3</v>
      </c>
      <c r="E13" s="4">
        <v>230</v>
      </c>
      <c r="F13" s="4">
        <v>0</v>
      </c>
      <c r="G13" s="4">
        <v>0</v>
      </c>
      <c r="H13" s="5">
        <f t="shared" si="6"/>
        <v>0</v>
      </c>
      <c r="I13" s="5">
        <f t="shared" si="0"/>
        <v>0</v>
      </c>
      <c r="J13" s="4">
        <v>0</v>
      </c>
      <c r="K13" s="4">
        <v>0</v>
      </c>
      <c r="L13" s="4">
        <v>1</v>
      </c>
      <c r="M13" s="4">
        <v>0</v>
      </c>
      <c r="O13" s="6">
        <f t="shared" si="1"/>
        <v>2.5555555555555554</v>
      </c>
      <c r="P13" s="6">
        <f t="shared" si="2"/>
        <v>0</v>
      </c>
      <c r="Q13" s="6">
        <f t="shared" si="2"/>
        <v>0</v>
      </c>
      <c r="R13" s="4">
        <f t="shared" si="3"/>
        <v>0</v>
      </c>
      <c r="S13" s="6">
        <f t="shared" si="4"/>
        <v>0</v>
      </c>
    </row>
    <row r="14" spans="1:20" x14ac:dyDescent="0.3">
      <c r="F14" s="10">
        <f t="shared" ref="F14:G14" si="7">SUM(F7:F13)</f>
        <v>12</v>
      </c>
      <c r="G14" s="10">
        <f t="shared" si="7"/>
        <v>27</v>
      </c>
      <c r="H14" s="10">
        <f>SUM(H7:H13)</f>
        <v>39</v>
      </c>
      <c r="I14" s="5"/>
      <c r="O14" s="6"/>
      <c r="P14" s="6">
        <f>SUM(P7:P13)</f>
        <v>0.13333333333333333</v>
      </c>
      <c r="Q14" s="6">
        <f>SUM(Q7:Q13)</f>
        <v>0.3</v>
      </c>
      <c r="S14" s="6">
        <f t="shared" si="4"/>
        <v>0.43333333333333335</v>
      </c>
    </row>
    <row r="15" spans="1:20" x14ac:dyDescent="0.3">
      <c r="A15" s="1" t="s">
        <v>24</v>
      </c>
      <c r="H15" s="5"/>
      <c r="I15" s="5"/>
      <c r="O15" s="6"/>
      <c r="P15" s="6"/>
      <c r="Q15" s="6"/>
      <c r="S15" s="6"/>
    </row>
    <row r="16" spans="1:20" x14ac:dyDescent="0.3">
      <c r="A16" s="4" t="s">
        <v>25</v>
      </c>
      <c r="B16" s="3" t="s">
        <v>26</v>
      </c>
      <c r="C16" s="4">
        <v>37</v>
      </c>
      <c r="D16" s="4">
        <v>35</v>
      </c>
      <c r="E16" s="4">
        <v>2935</v>
      </c>
      <c r="F16" s="4">
        <v>4</v>
      </c>
      <c r="G16" s="4">
        <v>0</v>
      </c>
      <c r="H16" s="5">
        <f t="shared" si="6"/>
        <v>4</v>
      </c>
      <c r="I16" s="5">
        <f t="shared" si="0"/>
        <v>4</v>
      </c>
      <c r="J16" s="4">
        <v>0</v>
      </c>
      <c r="K16" s="4">
        <v>0</v>
      </c>
      <c r="L16" s="4">
        <v>0</v>
      </c>
      <c r="M16" s="4">
        <v>0</v>
      </c>
      <c r="O16" s="6">
        <f t="shared" si="1"/>
        <v>32.611111111111114</v>
      </c>
      <c r="P16" s="6">
        <f t="shared" si="2"/>
        <v>4.4444444444444446E-2</v>
      </c>
      <c r="Q16" s="6">
        <f t="shared" si="2"/>
        <v>0</v>
      </c>
      <c r="R16" s="4">
        <f t="shared" si="3"/>
        <v>4.4444444444444446E-2</v>
      </c>
      <c r="S16" s="6">
        <f t="shared" si="4"/>
        <v>4.4444444444444446E-2</v>
      </c>
      <c r="T16" s="4">
        <f t="shared" si="5"/>
        <v>733.75</v>
      </c>
    </row>
    <row r="17" spans="1:20" x14ac:dyDescent="0.3">
      <c r="A17" s="4" t="s">
        <v>27</v>
      </c>
      <c r="B17" s="3" t="s">
        <v>28</v>
      </c>
      <c r="C17" s="4">
        <v>7</v>
      </c>
      <c r="D17" s="4">
        <v>2</v>
      </c>
      <c r="E17" s="4">
        <v>185</v>
      </c>
      <c r="F17" s="4">
        <v>1</v>
      </c>
      <c r="G17" s="4">
        <v>0</v>
      </c>
      <c r="H17" s="5">
        <f t="shared" si="6"/>
        <v>1</v>
      </c>
      <c r="I17" s="5">
        <f t="shared" si="0"/>
        <v>1</v>
      </c>
      <c r="J17" s="4">
        <v>0</v>
      </c>
      <c r="K17" s="4">
        <v>0</v>
      </c>
      <c r="L17" s="4">
        <v>0</v>
      </c>
      <c r="M17" s="4">
        <v>0</v>
      </c>
      <c r="O17" s="6">
        <f t="shared" si="1"/>
        <v>2.0555555555555554</v>
      </c>
      <c r="P17" s="6">
        <f t="shared" si="2"/>
        <v>1.1111111111111112E-2</v>
      </c>
      <c r="Q17" s="6">
        <f t="shared" si="2"/>
        <v>0</v>
      </c>
      <c r="R17" s="4">
        <f t="shared" si="3"/>
        <v>1.1111111111111112E-2</v>
      </c>
      <c r="S17" s="6">
        <f t="shared" si="4"/>
        <v>1.1111111111111112E-2</v>
      </c>
      <c r="T17" s="4">
        <f t="shared" si="5"/>
        <v>185</v>
      </c>
    </row>
    <row r="18" spans="1:20" x14ac:dyDescent="0.3">
      <c r="A18" s="4" t="s">
        <v>29</v>
      </c>
      <c r="B18" s="3" t="s">
        <v>30</v>
      </c>
      <c r="C18" s="4">
        <v>30</v>
      </c>
      <c r="D18" s="4">
        <v>17</v>
      </c>
      <c r="E18" s="4">
        <v>1485</v>
      </c>
      <c r="F18" s="4">
        <v>4</v>
      </c>
      <c r="G18" s="4">
        <v>1</v>
      </c>
      <c r="H18" s="5">
        <f t="shared" si="6"/>
        <v>5</v>
      </c>
      <c r="I18" s="5">
        <f t="shared" si="0"/>
        <v>4</v>
      </c>
      <c r="J18" s="4">
        <v>0</v>
      </c>
      <c r="K18" s="4">
        <v>0</v>
      </c>
      <c r="L18" s="4">
        <v>1</v>
      </c>
      <c r="M18" s="4">
        <v>0</v>
      </c>
      <c r="O18" s="6">
        <f t="shared" si="1"/>
        <v>16.5</v>
      </c>
      <c r="P18" s="6">
        <f t="shared" si="2"/>
        <v>4.4444444444444446E-2</v>
      </c>
      <c r="Q18" s="6">
        <f t="shared" si="2"/>
        <v>1.1111111111111112E-2</v>
      </c>
      <c r="R18" s="4">
        <f t="shared" si="3"/>
        <v>4.4444444444444446E-2</v>
      </c>
      <c r="S18" s="6">
        <f t="shared" si="4"/>
        <v>5.5555555555555552E-2</v>
      </c>
      <c r="T18" s="4">
        <f t="shared" si="5"/>
        <v>297</v>
      </c>
    </row>
    <row r="19" spans="1:20" x14ac:dyDescent="0.3">
      <c r="A19" s="4" t="s">
        <v>31</v>
      </c>
      <c r="B19" s="3" t="s">
        <v>32</v>
      </c>
      <c r="C19" s="4">
        <v>22</v>
      </c>
      <c r="D19" s="4">
        <v>9</v>
      </c>
      <c r="E19" s="4">
        <v>937</v>
      </c>
      <c r="F19" s="4">
        <v>2</v>
      </c>
      <c r="G19" s="4">
        <v>2</v>
      </c>
      <c r="H19" s="5">
        <f t="shared" si="6"/>
        <v>4</v>
      </c>
      <c r="I19" s="5">
        <f t="shared" si="0"/>
        <v>0</v>
      </c>
      <c r="J19" s="4">
        <v>2</v>
      </c>
      <c r="K19" s="4">
        <v>2</v>
      </c>
      <c r="L19" s="4">
        <v>4</v>
      </c>
      <c r="M19" s="4">
        <v>0</v>
      </c>
      <c r="O19" s="6">
        <f t="shared" si="1"/>
        <v>10.411111111111111</v>
      </c>
      <c r="P19" s="6">
        <f t="shared" si="2"/>
        <v>2.2222222222222223E-2</v>
      </c>
      <c r="Q19" s="6">
        <f t="shared" si="2"/>
        <v>2.2222222222222223E-2</v>
      </c>
      <c r="R19" s="4">
        <f t="shared" si="3"/>
        <v>0</v>
      </c>
      <c r="S19" s="6">
        <f t="shared" si="4"/>
        <v>4.4444444444444446E-2</v>
      </c>
      <c r="T19" s="4">
        <f t="shared" si="5"/>
        <v>234.25</v>
      </c>
    </row>
    <row r="20" spans="1:20" x14ac:dyDescent="0.3">
      <c r="A20" s="4" t="s">
        <v>34</v>
      </c>
      <c r="B20" s="3" t="s">
        <v>30</v>
      </c>
      <c r="C20" s="4">
        <v>15</v>
      </c>
      <c r="D20" s="4">
        <v>3</v>
      </c>
      <c r="E20" s="4">
        <v>382</v>
      </c>
      <c r="F20" s="4">
        <v>1</v>
      </c>
      <c r="G20" s="4">
        <v>1</v>
      </c>
      <c r="H20" s="5">
        <f t="shared" si="6"/>
        <v>2</v>
      </c>
      <c r="I20" s="5">
        <f t="shared" si="0"/>
        <v>1</v>
      </c>
      <c r="J20" s="4">
        <v>0</v>
      </c>
      <c r="K20" s="4">
        <v>0</v>
      </c>
      <c r="L20" s="4">
        <v>1</v>
      </c>
      <c r="M20" s="4">
        <v>0</v>
      </c>
      <c r="O20" s="6">
        <f t="shared" si="1"/>
        <v>4.2444444444444445</v>
      </c>
      <c r="P20" s="6">
        <f t="shared" si="2"/>
        <v>1.1111111111111112E-2</v>
      </c>
      <c r="Q20" s="6">
        <f t="shared" si="2"/>
        <v>1.1111111111111112E-2</v>
      </c>
      <c r="R20" s="4">
        <f t="shared" si="3"/>
        <v>1.1111111111111112E-2</v>
      </c>
      <c r="S20" s="6">
        <f t="shared" si="4"/>
        <v>2.2222222222222223E-2</v>
      </c>
      <c r="T20" s="4">
        <f t="shared" si="5"/>
        <v>191</v>
      </c>
    </row>
    <row r="21" spans="1:20" x14ac:dyDescent="0.3">
      <c r="A21" s="4" t="s">
        <v>35</v>
      </c>
      <c r="B21" s="3" t="s">
        <v>26</v>
      </c>
      <c r="C21" s="4">
        <v>18</v>
      </c>
      <c r="D21" s="4">
        <v>9</v>
      </c>
      <c r="E21" s="4">
        <v>815</v>
      </c>
      <c r="F21" s="4">
        <v>2</v>
      </c>
      <c r="G21" s="4">
        <v>3</v>
      </c>
      <c r="H21" s="5">
        <f t="shared" si="6"/>
        <v>5</v>
      </c>
      <c r="I21" s="5">
        <f t="shared" si="0"/>
        <v>2</v>
      </c>
      <c r="J21" s="4">
        <v>0</v>
      </c>
      <c r="K21" s="4">
        <v>0</v>
      </c>
      <c r="L21" s="4">
        <v>1</v>
      </c>
      <c r="M21" s="4">
        <v>0</v>
      </c>
      <c r="O21" s="6">
        <f t="shared" si="1"/>
        <v>9.0555555555555554</v>
      </c>
      <c r="P21" s="6">
        <f t="shared" si="2"/>
        <v>2.2222222222222223E-2</v>
      </c>
      <c r="Q21" s="6">
        <f t="shared" si="2"/>
        <v>3.3333333333333333E-2</v>
      </c>
      <c r="R21" s="4">
        <f t="shared" si="3"/>
        <v>2.2222222222222223E-2</v>
      </c>
      <c r="S21" s="6">
        <f t="shared" si="4"/>
        <v>5.5555555555555552E-2</v>
      </c>
      <c r="T21" s="4">
        <f t="shared" si="5"/>
        <v>163</v>
      </c>
    </row>
    <row r="22" spans="1:20" x14ac:dyDescent="0.3">
      <c r="A22" s="4" t="s">
        <v>36</v>
      </c>
      <c r="B22" s="3" t="s">
        <v>26</v>
      </c>
      <c r="C22" s="4">
        <v>6</v>
      </c>
      <c r="D22" s="4">
        <v>1</v>
      </c>
      <c r="E22" s="4">
        <v>126</v>
      </c>
      <c r="F22" s="4">
        <v>1</v>
      </c>
      <c r="G22" s="4">
        <v>0</v>
      </c>
      <c r="H22" s="5">
        <f t="shared" si="6"/>
        <v>1</v>
      </c>
      <c r="I22" s="5">
        <f t="shared" si="0"/>
        <v>1</v>
      </c>
      <c r="J22" s="4">
        <v>0</v>
      </c>
      <c r="K22" s="4">
        <v>0</v>
      </c>
      <c r="L22" s="4">
        <v>0</v>
      </c>
      <c r="M22" s="4">
        <v>0</v>
      </c>
      <c r="O22" s="6">
        <f t="shared" si="1"/>
        <v>1.4</v>
      </c>
      <c r="P22" s="6">
        <f t="shared" si="2"/>
        <v>1.1111111111111112E-2</v>
      </c>
      <c r="Q22" s="6">
        <f t="shared" si="2"/>
        <v>0</v>
      </c>
      <c r="R22" s="4">
        <f t="shared" si="3"/>
        <v>1.1111111111111112E-2</v>
      </c>
      <c r="S22" s="6">
        <f t="shared" si="4"/>
        <v>1.1111111111111112E-2</v>
      </c>
      <c r="T22" s="4">
        <f t="shared" si="5"/>
        <v>126</v>
      </c>
    </row>
    <row r="23" spans="1:20" x14ac:dyDescent="0.3">
      <c r="A23" s="4" t="s">
        <v>37</v>
      </c>
      <c r="B23" s="3" t="s">
        <v>26</v>
      </c>
      <c r="C23" s="4">
        <v>30</v>
      </c>
      <c r="D23" s="4">
        <v>26</v>
      </c>
      <c r="E23" s="4">
        <v>2238</v>
      </c>
      <c r="F23" s="4">
        <v>4</v>
      </c>
      <c r="G23" s="4">
        <v>5</v>
      </c>
      <c r="H23" s="5">
        <f t="shared" si="6"/>
        <v>9</v>
      </c>
      <c r="I23" s="5">
        <f t="shared" si="0"/>
        <v>4</v>
      </c>
      <c r="J23" s="4">
        <v>0</v>
      </c>
      <c r="K23" s="4">
        <v>0</v>
      </c>
      <c r="L23" s="4">
        <v>2</v>
      </c>
      <c r="M23" s="4">
        <v>0</v>
      </c>
      <c r="O23" s="6">
        <f t="shared" si="1"/>
        <v>24.866666666666667</v>
      </c>
      <c r="P23" s="6">
        <f t="shared" si="2"/>
        <v>4.4444444444444446E-2</v>
      </c>
      <c r="Q23" s="6">
        <f t="shared" si="2"/>
        <v>5.5555555555555552E-2</v>
      </c>
      <c r="R23" s="4">
        <f t="shared" si="3"/>
        <v>4.4444444444444446E-2</v>
      </c>
      <c r="S23" s="6">
        <f t="shared" si="4"/>
        <v>0.1</v>
      </c>
      <c r="T23" s="4">
        <f t="shared" si="5"/>
        <v>248.66666666666666</v>
      </c>
    </row>
    <row r="24" spans="1:20" x14ac:dyDescent="0.3">
      <c r="A24" s="4" t="s">
        <v>38</v>
      </c>
      <c r="B24" s="3" t="s">
        <v>26</v>
      </c>
      <c r="C24" s="4">
        <v>28</v>
      </c>
      <c r="D24" s="4">
        <v>22</v>
      </c>
      <c r="E24" s="4">
        <v>2079</v>
      </c>
      <c r="F24" s="4">
        <v>2</v>
      </c>
      <c r="G24" s="4">
        <v>3</v>
      </c>
      <c r="H24" s="5">
        <f t="shared" si="6"/>
        <v>5</v>
      </c>
      <c r="I24" s="5">
        <f t="shared" si="0"/>
        <v>2</v>
      </c>
      <c r="J24" s="4">
        <v>0</v>
      </c>
      <c r="K24" s="4">
        <v>0</v>
      </c>
      <c r="L24" s="4">
        <v>6</v>
      </c>
      <c r="M24" s="4">
        <v>0</v>
      </c>
      <c r="O24" s="6">
        <f t="shared" si="1"/>
        <v>23.1</v>
      </c>
      <c r="P24" s="6">
        <f t="shared" si="2"/>
        <v>2.2222222222222223E-2</v>
      </c>
      <c r="Q24" s="6">
        <f t="shared" si="2"/>
        <v>3.3333333333333333E-2</v>
      </c>
      <c r="R24" s="4">
        <f t="shared" si="3"/>
        <v>2.2222222222222223E-2</v>
      </c>
      <c r="S24" s="6">
        <f t="shared" si="4"/>
        <v>5.5555555555555552E-2</v>
      </c>
      <c r="T24" s="4">
        <f t="shared" si="5"/>
        <v>415.8</v>
      </c>
    </row>
    <row r="25" spans="1:20" x14ac:dyDescent="0.3">
      <c r="F25" s="10">
        <f t="shared" ref="F25:G25" si="8">SUM(F16:F24)</f>
        <v>21</v>
      </c>
      <c r="G25" s="10">
        <f t="shared" si="8"/>
        <v>15</v>
      </c>
      <c r="H25" s="10">
        <f>SUM(H16:H24)</f>
        <v>36</v>
      </c>
      <c r="I25" s="5"/>
      <c r="O25" s="6"/>
      <c r="P25" s="6">
        <f>SUM(P16:P24)</f>
        <v>0.23333333333333334</v>
      </c>
      <c r="Q25" s="6">
        <f>SUM(Q16:Q24)</f>
        <v>0.16666666666666666</v>
      </c>
      <c r="S25" s="6">
        <f t="shared" si="4"/>
        <v>0.4</v>
      </c>
    </row>
    <row r="26" spans="1:20" x14ac:dyDescent="0.3">
      <c r="A26" s="1" t="s">
        <v>39</v>
      </c>
      <c r="H26" s="5"/>
      <c r="I26" s="5"/>
      <c r="O26" s="6"/>
      <c r="P26" s="6"/>
      <c r="Q26" s="6"/>
      <c r="S26" s="6"/>
    </row>
    <row r="27" spans="1:20" x14ac:dyDescent="0.3">
      <c r="A27" s="4" t="s">
        <v>40</v>
      </c>
      <c r="B27" s="3" t="s">
        <v>41</v>
      </c>
      <c r="C27" s="4">
        <v>34</v>
      </c>
      <c r="D27" s="4">
        <v>33</v>
      </c>
      <c r="E27" s="4">
        <v>2876</v>
      </c>
      <c r="F27" s="4">
        <v>19</v>
      </c>
      <c r="G27" s="4">
        <v>10</v>
      </c>
      <c r="H27" s="5">
        <f t="shared" si="6"/>
        <v>29</v>
      </c>
      <c r="I27" s="5">
        <f t="shared" si="0"/>
        <v>16</v>
      </c>
      <c r="J27" s="4">
        <v>3</v>
      </c>
      <c r="K27" s="4">
        <v>3</v>
      </c>
      <c r="L27" s="4">
        <v>1</v>
      </c>
      <c r="M27" s="4">
        <v>0</v>
      </c>
      <c r="O27" s="6">
        <f t="shared" si="1"/>
        <v>31.955555555555556</v>
      </c>
      <c r="P27" s="6">
        <f t="shared" si="2"/>
        <v>0.21111111111111111</v>
      </c>
      <c r="Q27" s="6">
        <f>G27/90</f>
        <v>0.1111111111111111</v>
      </c>
      <c r="R27" s="4">
        <f t="shared" si="3"/>
        <v>0.17777777777777778</v>
      </c>
      <c r="S27" s="6">
        <f t="shared" si="4"/>
        <v>0.32222222222222224</v>
      </c>
      <c r="T27" s="4">
        <f t="shared" si="5"/>
        <v>99.172413793103445</v>
      </c>
    </row>
    <row r="28" spans="1:20" x14ac:dyDescent="0.3">
      <c r="A28" s="4" t="s">
        <v>42</v>
      </c>
      <c r="B28" s="3" t="s">
        <v>41</v>
      </c>
      <c r="C28" s="4">
        <v>28</v>
      </c>
      <c r="D28" s="4">
        <v>7</v>
      </c>
      <c r="E28" s="4">
        <v>717</v>
      </c>
      <c r="F28" s="4">
        <v>4</v>
      </c>
      <c r="G28" s="4">
        <v>1</v>
      </c>
      <c r="H28" s="5">
        <f t="shared" si="6"/>
        <v>5</v>
      </c>
      <c r="I28" s="5">
        <f t="shared" si="0"/>
        <v>4</v>
      </c>
      <c r="J28" s="4">
        <v>0</v>
      </c>
      <c r="K28" s="4">
        <v>0</v>
      </c>
      <c r="L28" s="4">
        <v>1</v>
      </c>
      <c r="M28" s="4">
        <v>0</v>
      </c>
      <c r="O28" s="6">
        <f t="shared" si="1"/>
        <v>7.9666666666666668</v>
      </c>
      <c r="P28" s="6">
        <f t="shared" si="2"/>
        <v>4.4444444444444446E-2</v>
      </c>
      <c r="Q28" s="6">
        <f t="shared" si="2"/>
        <v>1.1111111111111112E-2</v>
      </c>
      <c r="R28" s="4">
        <f t="shared" si="3"/>
        <v>4.4444444444444446E-2</v>
      </c>
      <c r="S28" s="6">
        <f t="shared" si="4"/>
        <v>5.5555555555555552E-2</v>
      </c>
      <c r="T28" s="4">
        <f t="shared" si="5"/>
        <v>143.4</v>
      </c>
    </row>
    <row r="29" spans="1:20" x14ac:dyDescent="0.3">
      <c r="A29" s="4" t="s">
        <v>43</v>
      </c>
      <c r="B29" s="3" t="s">
        <v>41</v>
      </c>
      <c r="C29" s="4">
        <v>35</v>
      </c>
      <c r="D29" s="4">
        <v>31</v>
      </c>
      <c r="E29" s="4">
        <v>2747</v>
      </c>
      <c r="F29" s="4">
        <v>18</v>
      </c>
      <c r="G29" s="4">
        <v>7</v>
      </c>
      <c r="H29" s="5">
        <f t="shared" si="6"/>
        <v>25</v>
      </c>
      <c r="I29" s="5">
        <f t="shared" si="0"/>
        <v>18</v>
      </c>
      <c r="J29" s="4">
        <v>0</v>
      </c>
      <c r="K29" s="4">
        <v>0</v>
      </c>
      <c r="L29" s="4">
        <v>3</v>
      </c>
      <c r="M29" s="4">
        <v>0</v>
      </c>
      <c r="O29" s="6">
        <f t="shared" si="1"/>
        <v>30.522222222222222</v>
      </c>
      <c r="P29" s="6">
        <f t="shared" si="2"/>
        <v>0.2</v>
      </c>
      <c r="Q29" s="6">
        <f t="shared" si="2"/>
        <v>7.7777777777777779E-2</v>
      </c>
      <c r="R29" s="4">
        <f t="shared" si="3"/>
        <v>0.2</v>
      </c>
      <c r="S29" s="6">
        <f t="shared" si="4"/>
        <v>0.27777777777777779</v>
      </c>
      <c r="T29" s="4">
        <f t="shared" si="5"/>
        <v>109.88</v>
      </c>
    </row>
    <row r="30" spans="1:20" x14ac:dyDescent="0.3">
      <c r="A30" s="4" t="s">
        <v>44</v>
      </c>
      <c r="B30" s="3" t="s">
        <v>41</v>
      </c>
      <c r="C30" s="4">
        <v>38</v>
      </c>
      <c r="D30" s="4">
        <v>34</v>
      </c>
      <c r="E30" s="4">
        <v>2988</v>
      </c>
      <c r="F30" s="4">
        <v>9</v>
      </c>
      <c r="G30" s="4">
        <v>8</v>
      </c>
      <c r="H30" s="5">
        <f t="shared" si="6"/>
        <v>17</v>
      </c>
      <c r="I30" s="5">
        <f t="shared" si="0"/>
        <v>9</v>
      </c>
      <c r="J30" s="4">
        <v>0</v>
      </c>
      <c r="K30" s="4">
        <v>0</v>
      </c>
      <c r="L30" s="4">
        <v>0</v>
      </c>
      <c r="M30" s="4">
        <v>0</v>
      </c>
      <c r="O30" s="6">
        <f t="shared" si="1"/>
        <v>33.200000000000003</v>
      </c>
      <c r="P30" s="6">
        <f t="shared" si="2"/>
        <v>0.1</v>
      </c>
      <c r="Q30" s="6">
        <f t="shared" si="2"/>
        <v>8.8888888888888892E-2</v>
      </c>
      <c r="R30" s="4">
        <f t="shared" si="3"/>
        <v>0.1</v>
      </c>
      <c r="S30" s="6">
        <f t="shared" si="4"/>
        <v>0.18888888888888888</v>
      </c>
      <c r="T30" s="4">
        <f t="shared" si="5"/>
        <v>175.76470588235293</v>
      </c>
    </row>
    <row r="31" spans="1:20" x14ac:dyDescent="0.3">
      <c r="A31" s="4">
        <f>COUNTA(A27:A30,A16:A24,A7:A13,A3:A4)</f>
        <v>22</v>
      </c>
      <c r="E31" s="4">
        <f>AVERAGE(E27:E30,E16:E24,E7:E13,E3:E4)</f>
        <v>1697.6363636363637</v>
      </c>
      <c r="F31" s="10">
        <f t="shared" ref="F31:G31" si="9">SUM(F27:F30)</f>
        <v>50</v>
      </c>
      <c r="G31" s="10">
        <f t="shared" si="9"/>
        <v>26</v>
      </c>
      <c r="H31" s="10">
        <f>SUM(H27:H30)</f>
        <v>76</v>
      </c>
      <c r="I31" s="5">
        <f>SUM(I27:I30,I16:I24,I7:I13,I3:I4)</f>
        <v>78</v>
      </c>
      <c r="J31" s="5"/>
      <c r="K31" s="5"/>
      <c r="L31" s="5">
        <f t="shared" ref="L31:M31" si="10">SUM(L27:L30,L16:L24,L7:L13,L3:L4)</f>
        <v>38</v>
      </c>
      <c r="M31" s="5">
        <f t="shared" si="10"/>
        <v>1</v>
      </c>
      <c r="P31" s="6">
        <f>SUM(P27:P30)</f>
        <v>0.55555555555555558</v>
      </c>
      <c r="Q31" s="6">
        <f>SUM(Q27:Q30)</f>
        <v>0.28888888888888892</v>
      </c>
      <c r="S31" s="6">
        <f>AVERAGE(S27:S30,S16:S24,S7:S13,S3:S4)</f>
        <v>7.6767676767676762E-2</v>
      </c>
    </row>
    <row r="32" spans="1:20" x14ac:dyDescent="0.3">
      <c r="F32" s="4">
        <f>SUM(F3:F30)-F14-F25</f>
        <v>83</v>
      </c>
      <c r="G32" s="4">
        <f t="shared" ref="G32:H32" si="11">SUM(G3:G30)-G14-G25</f>
        <v>69</v>
      </c>
      <c r="H32" s="4">
        <f t="shared" si="11"/>
        <v>152</v>
      </c>
    </row>
    <row r="33" spans="1:9" x14ac:dyDescent="0.3">
      <c r="A33" s="1" t="s">
        <v>47</v>
      </c>
    </row>
    <row r="34" spans="1:9" x14ac:dyDescent="0.3">
      <c r="A34" s="39" t="s">
        <v>48</v>
      </c>
      <c r="B34" s="39"/>
      <c r="C34" s="39"/>
      <c r="D34" s="39"/>
      <c r="E34" s="39"/>
      <c r="F34" s="39"/>
      <c r="G34" s="39"/>
      <c r="H34" s="39"/>
      <c r="I34" s="39"/>
    </row>
    <row r="35" spans="1:9" x14ac:dyDescent="0.3">
      <c r="A35" s="39"/>
      <c r="B35" s="39"/>
      <c r="C35" s="39"/>
      <c r="D35" s="39"/>
      <c r="E35" s="39"/>
      <c r="F35" s="39"/>
      <c r="G35" s="39"/>
      <c r="H35" s="39"/>
      <c r="I35" s="39"/>
    </row>
    <row r="36" spans="1:9" ht="15.6" customHeight="1" x14ac:dyDescent="0.3">
      <c r="A36" s="39" t="s">
        <v>49</v>
      </c>
      <c r="B36" s="39"/>
      <c r="C36" s="39"/>
      <c r="D36" s="39"/>
      <c r="E36" s="39"/>
      <c r="F36" s="39"/>
      <c r="G36" s="39"/>
      <c r="H36" s="39"/>
      <c r="I36" s="39"/>
    </row>
    <row r="37" spans="1:9" x14ac:dyDescent="0.3">
      <c r="A37" s="39"/>
      <c r="B37" s="39"/>
      <c r="C37" s="39"/>
      <c r="D37" s="39"/>
      <c r="E37" s="39"/>
      <c r="F37" s="39"/>
      <c r="G37" s="39"/>
      <c r="H37" s="39"/>
      <c r="I37" s="39"/>
    </row>
    <row r="38" spans="1:9" x14ac:dyDescent="0.3">
      <c r="A38" s="39"/>
      <c r="B38" s="39"/>
      <c r="C38" s="39"/>
      <c r="D38" s="39"/>
      <c r="E38" s="39"/>
      <c r="F38" s="39"/>
      <c r="G38" s="39"/>
      <c r="H38" s="39"/>
      <c r="I38" s="39"/>
    </row>
    <row r="39" spans="1:9" x14ac:dyDescent="0.3">
      <c r="A39" s="39" t="s">
        <v>50</v>
      </c>
      <c r="B39" s="39"/>
      <c r="C39" s="39"/>
      <c r="D39" s="39"/>
      <c r="E39" s="39"/>
      <c r="F39" s="39"/>
      <c r="G39" s="39"/>
      <c r="H39" s="39"/>
      <c r="I39" s="39"/>
    </row>
    <row r="40" spans="1:9" x14ac:dyDescent="0.3">
      <c r="A40" s="39"/>
      <c r="B40" s="39"/>
      <c r="C40" s="39"/>
      <c r="D40" s="39"/>
      <c r="E40" s="39"/>
      <c r="F40" s="39"/>
      <c r="G40" s="39"/>
      <c r="H40" s="39"/>
      <c r="I40" s="39"/>
    </row>
    <row r="41" spans="1:9" x14ac:dyDescent="0.3">
      <c r="A41" s="39" t="s">
        <v>51</v>
      </c>
      <c r="B41" s="39"/>
      <c r="C41" s="39"/>
      <c r="D41" s="39"/>
      <c r="E41" s="39"/>
      <c r="F41" s="39"/>
      <c r="G41" s="39"/>
      <c r="H41" s="39"/>
      <c r="I41" s="39"/>
    </row>
    <row r="42" spans="1:9" x14ac:dyDescent="0.3">
      <c r="A42" s="39"/>
      <c r="B42" s="39"/>
      <c r="C42" s="39"/>
      <c r="D42" s="39"/>
      <c r="E42" s="39"/>
      <c r="F42" s="39"/>
      <c r="G42" s="39"/>
      <c r="H42" s="39"/>
      <c r="I42" s="39"/>
    </row>
  </sheetData>
  <mergeCells count="6">
    <mergeCell ref="T1:T2"/>
    <mergeCell ref="A39:I40"/>
    <mergeCell ref="A41:I42"/>
    <mergeCell ref="A34:I35"/>
    <mergeCell ref="A36:I38"/>
    <mergeCell ref="O1:S1"/>
  </mergeCells>
  <conditionalFormatting sqref="C3:C30">
    <cfRule type="cellIs" dxfId="13" priority="15" operator="greaterThan">
      <formula>30</formula>
    </cfRule>
  </conditionalFormatting>
  <conditionalFormatting sqref="E3:E30">
    <cfRule type="cellIs" dxfId="12" priority="1" operator="greaterThan">
      <formula>1500</formula>
    </cfRule>
  </conditionalFormatting>
  <conditionalFormatting sqref="F3:F13 F15:F24 F26:F30">
    <cfRule type="colorScale" priority="13">
      <colorScale>
        <cfvo type="min"/>
        <cfvo type="percentile" val="50"/>
        <cfvo type="max"/>
        <color rgb="FFF8696B"/>
        <color rgb="FFFCFCFF"/>
        <color rgb="FF63BE7B"/>
      </colorScale>
    </cfRule>
  </conditionalFormatting>
  <conditionalFormatting sqref="G3:G13 G15:G24 G26:G30">
    <cfRule type="colorScale" priority="12">
      <colorScale>
        <cfvo type="min"/>
        <cfvo type="percentile" val="50"/>
        <cfvo type="max"/>
        <color rgb="FFF8696B"/>
        <color rgb="FFFCFCFF"/>
        <color rgb="FF63BE7B"/>
      </colorScale>
    </cfRule>
  </conditionalFormatting>
  <conditionalFormatting sqref="O3:O30">
    <cfRule type="cellIs" dxfId="11" priority="11" operator="greaterThan">
      <formula>30</formula>
    </cfRule>
  </conditionalFormatting>
  <conditionalFormatting sqref="P3:P30 Q14 Q25">
    <cfRule type="cellIs" dxfId="10" priority="7" operator="greaterThan">
      <formula>0.044</formula>
    </cfRule>
  </conditionalFormatting>
  <conditionalFormatting sqref="Q3:Q13 Q15:Q24 Q26:Q30">
    <cfRule type="cellIs" dxfId="9" priority="6" operator="greaterThan">
      <formula>0.1</formula>
    </cfRule>
  </conditionalFormatting>
  <conditionalFormatting sqref="R3:R30">
    <cfRule type="cellIs" dxfId="8" priority="4" operator="greaterThan">
      <formula>0.04</formula>
    </cfRule>
    <cfRule type="cellIs" dxfId="7" priority="5" operator="greaterThan">
      <formula>0.04</formula>
    </cfRule>
  </conditionalFormatting>
  <conditionalFormatting sqref="S3:S30">
    <cfRule type="cellIs" dxfId="6" priority="3" operator="greaterThan">
      <formula>0.1</formula>
    </cfRule>
  </conditionalFormatting>
  <conditionalFormatting sqref="T3:T30">
    <cfRule type="colorScale" priority="2">
      <colorScale>
        <cfvo type="min"/>
        <cfvo type="percentile" val="50"/>
        <cfvo type="max"/>
        <color rgb="FFF8696B"/>
        <color rgb="FFFCFCFF"/>
        <color rgb="FF63BE7B"/>
      </colorScale>
    </cfRule>
  </conditionalFormatting>
  <pageMargins left="0.7" right="0.7" top="0.75" bottom="0.75" header="0.3" footer="0.3"/>
  <ignoredErrors>
    <ignoredError sqref="H31"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BA92-3F2A-4E90-B367-E73BD2077BA2}">
  <dimension ref="A1:T43"/>
  <sheetViews>
    <sheetView zoomScale="73" zoomScaleNormal="80" workbookViewId="0">
      <selection activeCell="D33" sqref="D33"/>
    </sheetView>
  </sheetViews>
  <sheetFormatPr defaultRowHeight="15.6" x14ac:dyDescent="0.3"/>
  <cols>
    <col min="1" max="1" width="26.33203125" style="4" bestFit="1" customWidth="1"/>
    <col min="2" max="2" width="10.44140625" style="4" customWidth="1"/>
    <col min="3" max="14" width="8.88671875" style="4"/>
    <col min="15" max="15" width="11.33203125" style="4" bestFit="1" customWidth="1"/>
    <col min="16" max="18" width="8.88671875" style="4"/>
    <col min="19" max="19" width="8.88671875" style="4" customWidth="1"/>
    <col min="20" max="20" width="13" style="4" customWidth="1"/>
    <col min="21" max="16384" width="8.88671875" style="4"/>
  </cols>
  <sheetData>
    <row r="1" spans="1:20" x14ac:dyDescent="0.3">
      <c r="A1" s="1"/>
      <c r="B1" s="2" t="s">
        <v>13</v>
      </c>
      <c r="C1" s="2" t="s">
        <v>3</v>
      </c>
      <c r="D1" s="2" t="s">
        <v>4</v>
      </c>
      <c r="E1" s="2" t="s">
        <v>5</v>
      </c>
      <c r="F1" s="2" t="s">
        <v>6</v>
      </c>
      <c r="G1" s="2" t="s">
        <v>7</v>
      </c>
      <c r="H1" s="2" t="s">
        <v>8</v>
      </c>
      <c r="I1" s="2" t="s">
        <v>9</v>
      </c>
      <c r="J1" s="2" t="s">
        <v>33</v>
      </c>
      <c r="K1" s="2" t="s">
        <v>10</v>
      </c>
      <c r="L1" s="2" t="s">
        <v>11</v>
      </c>
      <c r="M1" s="2" t="s">
        <v>12</v>
      </c>
      <c r="O1" s="37" t="s">
        <v>73</v>
      </c>
      <c r="P1" s="37"/>
      <c r="Q1" s="37"/>
      <c r="R1" s="37"/>
      <c r="S1" s="37"/>
      <c r="T1" s="36" t="s">
        <v>52</v>
      </c>
    </row>
    <row r="2" spans="1:20" x14ac:dyDescent="0.3">
      <c r="A2" s="1" t="s">
        <v>0</v>
      </c>
      <c r="B2" s="3"/>
      <c r="O2" s="2" t="s">
        <v>45</v>
      </c>
      <c r="P2" s="2" t="s">
        <v>74</v>
      </c>
      <c r="Q2" s="2" t="s">
        <v>75</v>
      </c>
      <c r="R2" s="2" t="s">
        <v>9</v>
      </c>
      <c r="S2" s="2" t="s">
        <v>8</v>
      </c>
      <c r="T2" s="36"/>
    </row>
    <row r="3" spans="1:20" x14ac:dyDescent="0.3">
      <c r="A3" s="4" t="s">
        <v>1</v>
      </c>
      <c r="B3" s="3" t="s">
        <v>21</v>
      </c>
      <c r="C3" s="4">
        <v>28</v>
      </c>
      <c r="D3" s="4">
        <v>28</v>
      </c>
      <c r="E3" s="4">
        <v>2520</v>
      </c>
      <c r="F3" s="4">
        <v>0</v>
      </c>
      <c r="G3" s="4">
        <v>0</v>
      </c>
      <c r="H3" s="4">
        <f>SUM(F3:G3)</f>
        <v>0</v>
      </c>
      <c r="I3" s="4">
        <f>F3-J3</f>
        <v>0</v>
      </c>
      <c r="J3" s="4">
        <v>0</v>
      </c>
      <c r="K3" s="4">
        <v>0</v>
      </c>
      <c r="L3" s="4">
        <v>1</v>
      </c>
      <c r="M3" s="4">
        <v>0</v>
      </c>
      <c r="O3" s="6">
        <f>E3/90</f>
        <v>28</v>
      </c>
      <c r="P3" s="4">
        <f>F3/90</f>
        <v>0</v>
      </c>
      <c r="Q3" s="8">
        <f>G3/90</f>
        <v>0</v>
      </c>
      <c r="R3" s="8">
        <f>I3/90</f>
        <v>0</v>
      </c>
      <c r="S3" s="4">
        <f>H3/90</f>
        <v>0</v>
      </c>
    </row>
    <row r="4" spans="1:20" x14ac:dyDescent="0.3">
      <c r="A4" s="4" t="s">
        <v>55</v>
      </c>
      <c r="B4" s="3" t="s">
        <v>21</v>
      </c>
      <c r="C4" s="4">
        <v>10</v>
      </c>
      <c r="D4" s="4">
        <v>10</v>
      </c>
      <c r="E4" s="4">
        <v>900</v>
      </c>
      <c r="F4" s="4">
        <v>0</v>
      </c>
      <c r="G4" s="4">
        <v>0</v>
      </c>
      <c r="H4" s="4">
        <f t="shared" ref="H4:H30" si="0">SUM(F4:G4)</f>
        <v>0</v>
      </c>
      <c r="I4" s="4">
        <f t="shared" ref="I4:I30" si="1">F4-J4</f>
        <v>0</v>
      </c>
      <c r="J4" s="4">
        <v>0</v>
      </c>
      <c r="K4" s="4">
        <v>0</v>
      </c>
      <c r="L4" s="4">
        <v>0</v>
      </c>
      <c r="M4" s="4">
        <v>0</v>
      </c>
      <c r="O4" s="6">
        <f t="shared" ref="O4:O30" si="2">E4/90</f>
        <v>10</v>
      </c>
      <c r="P4" s="4">
        <f t="shared" ref="P4:P30" si="3">F4/90</f>
        <v>0</v>
      </c>
      <c r="Q4" s="8">
        <f t="shared" ref="Q4:Q30" si="4">G4/90</f>
        <v>0</v>
      </c>
      <c r="R4" s="8">
        <f t="shared" ref="R4:R30" si="5">I4/90</f>
        <v>0</v>
      </c>
      <c r="S4" s="4">
        <f t="shared" ref="S4:S30" si="6">H4/90</f>
        <v>0</v>
      </c>
    </row>
    <row r="5" spans="1:20" x14ac:dyDescent="0.3">
      <c r="B5" s="3"/>
      <c r="O5" s="6"/>
      <c r="Q5" s="8"/>
      <c r="R5" s="8"/>
    </row>
    <row r="6" spans="1:20" x14ac:dyDescent="0.3">
      <c r="A6" s="1" t="s">
        <v>14</v>
      </c>
      <c r="B6" s="3"/>
      <c r="O6" s="6"/>
      <c r="Q6" s="8"/>
      <c r="R6" s="8"/>
    </row>
    <row r="7" spans="1:20" x14ac:dyDescent="0.3">
      <c r="A7" s="4" t="s">
        <v>17</v>
      </c>
      <c r="B7" s="3" t="s">
        <v>20</v>
      </c>
      <c r="C7" s="4">
        <v>28</v>
      </c>
      <c r="D7" s="4">
        <v>25</v>
      </c>
      <c r="E7" s="4">
        <v>2155</v>
      </c>
      <c r="F7" s="4">
        <v>3</v>
      </c>
      <c r="G7" s="4">
        <v>4</v>
      </c>
      <c r="H7" s="4">
        <f t="shared" si="0"/>
        <v>7</v>
      </c>
      <c r="I7" s="4">
        <f t="shared" si="1"/>
        <v>3</v>
      </c>
      <c r="J7" s="4">
        <v>0</v>
      </c>
      <c r="K7" s="4">
        <v>0</v>
      </c>
      <c r="L7" s="4">
        <v>6</v>
      </c>
      <c r="M7" s="4">
        <v>0</v>
      </c>
      <c r="O7" s="6">
        <f t="shared" si="2"/>
        <v>23.944444444444443</v>
      </c>
      <c r="P7" s="8">
        <f t="shared" si="3"/>
        <v>3.3333333333333333E-2</v>
      </c>
      <c r="Q7" s="8">
        <f t="shared" si="4"/>
        <v>4.4444444444444446E-2</v>
      </c>
      <c r="R7" s="8">
        <f t="shared" si="5"/>
        <v>3.3333333333333333E-2</v>
      </c>
      <c r="S7" s="4">
        <f t="shared" si="6"/>
        <v>7.7777777777777779E-2</v>
      </c>
      <c r="T7" s="6">
        <f t="shared" ref="T7:T30" si="7">E7/H7</f>
        <v>307.85714285714283</v>
      </c>
    </row>
    <row r="8" spans="1:20" x14ac:dyDescent="0.3">
      <c r="A8" s="4" t="s">
        <v>56</v>
      </c>
      <c r="B8" s="3" t="s">
        <v>20</v>
      </c>
      <c r="C8" s="4">
        <v>11</v>
      </c>
      <c r="D8" s="4">
        <v>10</v>
      </c>
      <c r="E8" s="4">
        <v>753</v>
      </c>
      <c r="F8" s="4">
        <v>1</v>
      </c>
      <c r="G8" s="4">
        <v>3</v>
      </c>
      <c r="H8" s="4">
        <f t="shared" si="0"/>
        <v>4</v>
      </c>
      <c r="I8" s="4">
        <f t="shared" si="1"/>
        <v>1</v>
      </c>
      <c r="J8" s="4">
        <v>0</v>
      </c>
      <c r="K8" s="4">
        <v>0</v>
      </c>
      <c r="L8" s="4">
        <v>2</v>
      </c>
      <c r="M8" s="4">
        <v>0</v>
      </c>
      <c r="O8" s="6">
        <f t="shared" si="2"/>
        <v>8.3666666666666671</v>
      </c>
      <c r="P8" s="8">
        <f t="shared" si="3"/>
        <v>1.1111111111111112E-2</v>
      </c>
      <c r="Q8" s="8">
        <f t="shared" si="4"/>
        <v>3.3333333333333333E-2</v>
      </c>
      <c r="R8" s="8">
        <f t="shared" si="5"/>
        <v>1.1111111111111112E-2</v>
      </c>
      <c r="S8" s="4">
        <f t="shared" si="6"/>
        <v>4.4444444444444446E-2</v>
      </c>
      <c r="T8" s="6">
        <f t="shared" si="7"/>
        <v>188.25</v>
      </c>
    </row>
    <row r="9" spans="1:20" x14ac:dyDescent="0.3">
      <c r="A9" s="4" t="s">
        <v>16</v>
      </c>
      <c r="B9" s="3" t="s">
        <v>20</v>
      </c>
      <c r="C9" s="4">
        <v>32</v>
      </c>
      <c r="D9" s="4">
        <v>17</v>
      </c>
      <c r="E9" s="4">
        <v>1786</v>
      </c>
      <c r="F9" s="4">
        <v>0</v>
      </c>
      <c r="G9" s="4">
        <v>1</v>
      </c>
      <c r="H9" s="4">
        <f t="shared" si="0"/>
        <v>1</v>
      </c>
      <c r="I9" s="4">
        <f t="shared" si="1"/>
        <v>0</v>
      </c>
      <c r="J9" s="4">
        <v>0</v>
      </c>
      <c r="K9" s="4">
        <v>0</v>
      </c>
      <c r="L9" s="4">
        <v>5</v>
      </c>
      <c r="M9" s="4">
        <v>0</v>
      </c>
      <c r="O9" s="6">
        <f t="shared" si="2"/>
        <v>19.844444444444445</v>
      </c>
      <c r="P9" s="8">
        <f t="shared" si="3"/>
        <v>0</v>
      </c>
      <c r="Q9" s="8">
        <f t="shared" si="4"/>
        <v>1.1111111111111112E-2</v>
      </c>
      <c r="R9" s="8">
        <f t="shared" si="5"/>
        <v>0</v>
      </c>
      <c r="S9" s="4">
        <f t="shared" si="6"/>
        <v>1.1111111111111112E-2</v>
      </c>
      <c r="T9" s="6">
        <f t="shared" si="7"/>
        <v>1786</v>
      </c>
    </row>
    <row r="10" spans="1:20" x14ac:dyDescent="0.3">
      <c r="A10" s="4" t="s">
        <v>63</v>
      </c>
      <c r="B10" s="3" t="s">
        <v>20</v>
      </c>
      <c r="C10" s="4">
        <v>22</v>
      </c>
      <c r="D10" s="4">
        <v>17</v>
      </c>
      <c r="E10" s="4">
        <v>1574</v>
      </c>
      <c r="F10" s="4">
        <v>0</v>
      </c>
      <c r="G10" s="4">
        <v>0</v>
      </c>
      <c r="H10" s="4">
        <f>SUM(G10,F10)</f>
        <v>0</v>
      </c>
      <c r="I10" s="4">
        <f t="shared" si="1"/>
        <v>0</v>
      </c>
      <c r="J10" s="4">
        <v>0</v>
      </c>
      <c r="K10" s="4">
        <v>0</v>
      </c>
      <c r="L10" s="4">
        <v>5</v>
      </c>
      <c r="M10" s="4">
        <v>1</v>
      </c>
      <c r="O10" s="6">
        <f t="shared" si="2"/>
        <v>17.488888888888887</v>
      </c>
      <c r="P10" s="8">
        <f t="shared" si="3"/>
        <v>0</v>
      </c>
      <c r="Q10" s="8">
        <f t="shared" si="4"/>
        <v>0</v>
      </c>
      <c r="R10" s="8">
        <f t="shared" si="5"/>
        <v>0</v>
      </c>
      <c r="S10" s="4">
        <f t="shared" si="6"/>
        <v>0</v>
      </c>
      <c r="T10" s="6"/>
    </row>
    <row r="11" spans="1:20" x14ac:dyDescent="0.3">
      <c r="A11" s="4" t="s">
        <v>64</v>
      </c>
      <c r="B11" s="3" t="s">
        <v>20</v>
      </c>
      <c r="C11" s="4">
        <v>10</v>
      </c>
      <c r="D11" s="4">
        <v>9</v>
      </c>
      <c r="E11" s="4">
        <v>781</v>
      </c>
      <c r="F11" s="4">
        <v>0</v>
      </c>
      <c r="G11" s="4">
        <v>0</v>
      </c>
      <c r="H11" s="4">
        <f>SUM(F11:G11)</f>
        <v>0</v>
      </c>
      <c r="I11" s="4">
        <f t="shared" si="1"/>
        <v>0</v>
      </c>
      <c r="J11" s="4">
        <v>0</v>
      </c>
      <c r="K11" s="4">
        <v>0</v>
      </c>
      <c r="L11" s="4">
        <v>2</v>
      </c>
      <c r="M11" s="4">
        <v>0</v>
      </c>
      <c r="O11" s="6">
        <f t="shared" si="2"/>
        <v>8.6777777777777771</v>
      </c>
      <c r="P11" s="8">
        <f t="shared" si="3"/>
        <v>0</v>
      </c>
      <c r="Q11" s="8">
        <f t="shared" si="4"/>
        <v>0</v>
      </c>
      <c r="R11" s="8">
        <f t="shared" si="5"/>
        <v>0</v>
      </c>
      <c r="S11" s="4">
        <f t="shared" si="6"/>
        <v>0</v>
      </c>
      <c r="T11" s="6"/>
    </row>
    <row r="12" spans="1:20" x14ac:dyDescent="0.3">
      <c r="A12" s="4" t="s">
        <v>66</v>
      </c>
      <c r="B12" s="3" t="s">
        <v>20</v>
      </c>
      <c r="C12" s="4">
        <v>17</v>
      </c>
      <c r="D12" s="4">
        <v>13</v>
      </c>
      <c r="E12" s="4">
        <v>1190</v>
      </c>
      <c r="F12" s="4">
        <v>2</v>
      </c>
      <c r="G12" s="4">
        <v>0</v>
      </c>
      <c r="H12" s="4">
        <f>SUM(F12:G12)</f>
        <v>2</v>
      </c>
      <c r="I12" s="4">
        <f t="shared" si="1"/>
        <v>2</v>
      </c>
      <c r="J12" s="4">
        <v>0</v>
      </c>
      <c r="K12" s="4">
        <v>0</v>
      </c>
      <c r="L12" s="4">
        <v>1</v>
      </c>
      <c r="M12" s="4">
        <v>0</v>
      </c>
      <c r="O12" s="6">
        <f t="shared" si="2"/>
        <v>13.222222222222221</v>
      </c>
      <c r="P12" s="8">
        <f t="shared" si="3"/>
        <v>2.2222222222222223E-2</v>
      </c>
      <c r="Q12" s="8">
        <f t="shared" si="4"/>
        <v>0</v>
      </c>
      <c r="R12" s="8">
        <f t="shared" si="5"/>
        <v>2.2222222222222223E-2</v>
      </c>
      <c r="S12" s="4">
        <f t="shared" si="6"/>
        <v>2.2222222222222223E-2</v>
      </c>
      <c r="T12" s="6">
        <f t="shared" si="7"/>
        <v>595</v>
      </c>
    </row>
    <row r="13" spans="1:20" x14ac:dyDescent="0.3">
      <c r="A13" s="4" t="s">
        <v>68</v>
      </c>
      <c r="B13" s="3" t="s">
        <v>20</v>
      </c>
      <c r="C13" s="4">
        <v>13</v>
      </c>
      <c r="D13" s="4">
        <v>8</v>
      </c>
      <c r="E13" s="4">
        <v>679</v>
      </c>
      <c r="F13" s="4">
        <v>0</v>
      </c>
      <c r="G13" s="4">
        <v>3</v>
      </c>
      <c r="H13" s="4">
        <f>SUM(F13:G13)</f>
        <v>3</v>
      </c>
      <c r="I13" s="4">
        <f t="shared" si="1"/>
        <v>0</v>
      </c>
      <c r="J13" s="4">
        <v>0</v>
      </c>
      <c r="K13" s="4">
        <v>0</v>
      </c>
      <c r="L13" s="4">
        <v>0</v>
      </c>
      <c r="M13" s="4">
        <v>0</v>
      </c>
      <c r="O13" s="6">
        <f t="shared" si="2"/>
        <v>7.5444444444444443</v>
      </c>
      <c r="P13" s="8">
        <f t="shared" si="3"/>
        <v>0</v>
      </c>
      <c r="Q13" s="8">
        <f t="shared" si="4"/>
        <v>3.3333333333333333E-2</v>
      </c>
      <c r="R13" s="8">
        <f t="shared" si="5"/>
        <v>0</v>
      </c>
      <c r="S13" s="4">
        <f t="shared" si="6"/>
        <v>3.3333333333333333E-2</v>
      </c>
      <c r="T13" s="6">
        <f t="shared" si="7"/>
        <v>226.33333333333334</v>
      </c>
    </row>
    <row r="14" spans="1:20" x14ac:dyDescent="0.3">
      <c r="A14" s="4" t="s">
        <v>19</v>
      </c>
      <c r="B14" s="3" t="s">
        <v>20</v>
      </c>
      <c r="C14" s="4">
        <v>23</v>
      </c>
      <c r="D14" s="4">
        <v>18</v>
      </c>
      <c r="E14" s="4">
        <v>1693</v>
      </c>
      <c r="F14" s="4">
        <v>3</v>
      </c>
      <c r="G14" s="4">
        <v>2</v>
      </c>
      <c r="H14" s="4">
        <f>SUM(F14:G14)</f>
        <v>5</v>
      </c>
      <c r="I14" s="4">
        <f t="shared" si="1"/>
        <v>3</v>
      </c>
      <c r="J14" s="4">
        <v>0</v>
      </c>
      <c r="K14" s="4">
        <v>0</v>
      </c>
      <c r="L14" s="4">
        <v>2</v>
      </c>
      <c r="M14" s="4">
        <v>0</v>
      </c>
      <c r="O14" s="6">
        <f t="shared" si="2"/>
        <v>18.81111111111111</v>
      </c>
      <c r="P14" s="8">
        <f t="shared" si="3"/>
        <v>3.3333333333333333E-2</v>
      </c>
      <c r="Q14" s="8">
        <f t="shared" si="4"/>
        <v>2.2222222222222223E-2</v>
      </c>
      <c r="R14" s="8">
        <f t="shared" si="5"/>
        <v>3.3333333333333333E-2</v>
      </c>
      <c r="S14" s="4">
        <f t="shared" si="6"/>
        <v>5.5555555555555552E-2</v>
      </c>
      <c r="T14" s="6">
        <f t="shared" si="7"/>
        <v>338.6</v>
      </c>
    </row>
    <row r="15" spans="1:20" x14ac:dyDescent="0.3">
      <c r="A15" s="4" t="s">
        <v>53</v>
      </c>
      <c r="B15" s="3" t="s">
        <v>20</v>
      </c>
      <c r="C15" s="4">
        <v>36</v>
      </c>
      <c r="D15" s="4">
        <v>36</v>
      </c>
      <c r="E15" s="4">
        <v>3177</v>
      </c>
      <c r="F15" s="4">
        <v>2</v>
      </c>
      <c r="G15" s="4">
        <v>2</v>
      </c>
      <c r="H15" s="4">
        <f>SUM(F15:G15)</f>
        <v>4</v>
      </c>
      <c r="I15" s="4">
        <f t="shared" si="1"/>
        <v>2</v>
      </c>
      <c r="J15" s="4">
        <v>0</v>
      </c>
      <c r="K15" s="4">
        <v>0</v>
      </c>
      <c r="L15" s="4">
        <v>3</v>
      </c>
      <c r="M15" s="4">
        <v>1</v>
      </c>
      <c r="O15" s="6">
        <f t="shared" si="2"/>
        <v>35.299999999999997</v>
      </c>
      <c r="P15" s="8">
        <f t="shared" si="3"/>
        <v>2.2222222222222223E-2</v>
      </c>
      <c r="Q15" s="8">
        <f t="shared" si="4"/>
        <v>2.2222222222222223E-2</v>
      </c>
      <c r="R15" s="8">
        <f t="shared" si="5"/>
        <v>2.2222222222222223E-2</v>
      </c>
      <c r="S15" s="4">
        <f t="shared" si="6"/>
        <v>4.4444444444444446E-2</v>
      </c>
      <c r="T15" s="6">
        <f t="shared" si="7"/>
        <v>794.25</v>
      </c>
    </row>
    <row r="16" spans="1:20" x14ac:dyDescent="0.3">
      <c r="B16" s="3"/>
      <c r="F16" s="9">
        <f>SUM(F7:F15)</f>
        <v>11</v>
      </c>
      <c r="G16" s="9">
        <f t="shared" ref="G16:H16" si="8">SUM(G7:G15)</f>
        <v>15</v>
      </c>
      <c r="H16" s="9">
        <f t="shared" si="8"/>
        <v>26</v>
      </c>
      <c r="O16" s="6"/>
      <c r="P16" s="8">
        <f>SUM(P7:P15)</f>
        <v>0.12222222222222223</v>
      </c>
      <c r="Q16" s="8">
        <f>SUM(Q7:Q15)</f>
        <v>0.16666666666666669</v>
      </c>
      <c r="R16" s="8"/>
      <c r="T16" s="6"/>
    </row>
    <row r="17" spans="1:20" x14ac:dyDescent="0.3">
      <c r="A17" s="1" t="s">
        <v>24</v>
      </c>
      <c r="B17" s="3"/>
      <c r="O17" s="6"/>
      <c r="P17" s="8"/>
      <c r="Q17" s="8"/>
      <c r="R17" s="8"/>
      <c r="T17" s="6"/>
    </row>
    <row r="18" spans="1:20" x14ac:dyDescent="0.3">
      <c r="A18" s="4" t="s">
        <v>58</v>
      </c>
      <c r="B18" s="3" t="s">
        <v>30</v>
      </c>
      <c r="C18" s="4">
        <v>34</v>
      </c>
      <c r="D18" s="4">
        <v>11</v>
      </c>
      <c r="E18" s="4">
        <v>1352</v>
      </c>
      <c r="F18" s="4">
        <v>3</v>
      </c>
      <c r="G18" s="4">
        <v>6</v>
      </c>
      <c r="H18" s="4">
        <f t="shared" si="0"/>
        <v>9</v>
      </c>
      <c r="I18" s="4">
        <f t="shared" si="1"/>
        <v>3</v>
      </c>
      <c r="J18" s="4">
        <v>0</v>
      </c>
      <c r="K18" s="4">
        <v>0</v>
      </c>
      <c r="L18" s="4">
        <v>2</v>
      </c>
      <c r="M18" s="4">
        <v>0</v>
      </c>
      <c r="O18" s="6">
        <f t="shared" si="2"/>
        <v>15.022222222222222</v>
      </c>
      <c r="P18" s="8">
        <f t="shared" si="3"/>
        <v>3.3333333333333333E-2</v>
      </c>
      <c r="Q18" s="8">
        <f t="shared" si="4"/>
        <v>6.6666666666666666E-2</v>
      </c>
      <c r="R18" s="8">
        <f t="shared" si="5"/>
        <v>3.3333333333333333E-2</v>
      </c>
      <c r="S18" s="4">
        <f t="shared" si="6"/>
        <v>0.1</v>
      </c>
      <c r="T18" s="6">
        <f t="shared" si="7"/>
        <v>150.22222222222223</v>
      </c>
    </row>
    <row r="19" spans="1:20" x14ac:dyDescent="0.3">
      <c r="A19" s="4" t="s">
        <v>59</v>
      </c>
      <c r="B19" s="3" t="s">
        <v>26</v>
      </c>
      <c r="C19" s="4">
        <v>29</v>
      </c>
      <c r="D19" s="4">
        <v>20</v>
      </c>
      <c r="E19" s="4">
        <v>1722</v>
      </c>
      <c r="F19" s="4">
        <v>1</v>
      </c>
      <c r="G19" s="4">
        <v>0</v>
      </c>
      <c r="H19" s="4">
        <f t="shared" si="0"/>
        <v>1</v>
      </c>
      <c r="I19" s="4">
        <f t="shared" si="1"/>
        <v>1</v>
      </c>
      <c r="J19" s="4">
        <v>0</v>
      </c>
      <c r="K19" s="4">
        <v>0</v>
      </c>
      <c r="L19" s="4">
        <v>10</v>
      </c>
      <c r="M19" s="4">
        <v>0</v>
      </c>
      <c r="O19" s="6">
        <f t="shared" si="2"/>
        <v>19.133333333333333</v>
      </c>
      <c r="P19" s="8">
        <f t="shared" si="3"/>
        <v>1.1111111111111112E-2</v>
      </c>
      <c r="Q19" s="8">
        <f t="shared" si="4"/>
        <v>0</v>
      </c>
      <c r="R19" s="8">
        <f t="shared" si="5"/>
        <v>1.1111111111111112E-2</v>
      </c>
      <c r="S19" s="4">
        <f t="shared" si="6"/>
        <v>1.1111111111111112E-2</v>
      </c>
      <c r="T19" s="6">
        <f t="shared" si="7"/>
        <v>1722</v>
      </c>
    </row>
    <row r="20" spans="1:20" x14ac:dyDescent="0.3">
      <c r="A20" s="4" t="s">
        <v>61</v>
      </c>
      <c r="B20" s="3" t="s">
        <v>26</v>
      </c>
      <c r="C20" s="4">
        <v>26</v>
      </c>
      <c r="D20" s="4">
        <v>12</v>
      </c>
      <c r="E20" s="4">
        <v>1121</v>
      </c>
      <c r="F20" s="4">
        <v>1</v>
      </c>
      <c r="G20" s="4">
        <v>0</v>
      </c>
      <c r="H20" s="4">
        <f t="shared" si="0"/>
        <v>1</v>
      </c>
      <c r="I20" s="4">
        <f t="shared" si="1"/>
        <v>1</v>
      </c>
      <c r="J20" s="4">
        <v>0</v>
      </c>
      <c r="K20" s="4">
        <v>0</v>
      </c>
      <c r="L20" s="4">
        <v>0</v>
      </c>
      <c r="M20" s="4">
        <v>0</v>
      </c>
      <c r="O20" s="6">
        <f t="shared" si="2"/>
        <v>12.455555555555556</v>
      </c>
      <c r="P20" s="8">
        <f t="shared" si="3"/>
        <v>1.1111111111111112E-2</v>
      </c>
      <c r="Q20" s="8">
        <f t="shared" si="4"/>
        <v>0</v>
      </c>
      <c r="R20" s="8">
        <f t="shared" si="5"/>
        <v>1.1111111111111112E-2</v>
      </c>
      <c r="S20" s="4">
        <f t="shared" si="6"/>
        <v>1.1111111111111112E-2</v>
      </c>
      <c r="T20" s="6">
        <f t="shared" si="7"/>
        <v>1121</v>
      </c>
    </row>
    <row r="21" spans="1:20" x14ac:dyDescent="0.3">
      <c r="A21" s="4" t="s">
        <v>36</v>
      </c>
      <c r="B21" s="3" t="s">
        <v>26</v>
      </c>
      <c r="C21" s="4">
        <v>23</v>
      </c>
      <c r="D21" s="4">
        <v>14</v>
      </c>
      <c r="E21" s="4">
        <v>1167</v>
      </c>
      <c r="F21" s="4">
        <v>1</v>
      </c>
      <c r="G21" s="4">
        <v>1</v>
      </c>
      <c r="H21" s="4">
        <f t="shared" si="0"/>
        <v>2</v>
      </c>
      <c r="I21" s="4">
        <f t="shared" si="1"/>
        <v>1</v>
      </c>
      <c r="J21" s="4">
        <v>0</v>
      </c>
      <c r="K21" s="4">
        <v>0</v>
      </c>
      <c r="L21" s="4">
        <v>3</v>
      </c>
      <c r="M21" s="4">
        <v>1</v>
      </c>
      <c r="O21" s="6">
        <f t="shared" si="2"/>
        <v>12.966666666666667</v>
      </c>
      <c r="P21" s="8">
        <f t="shared" si="3"/>
        <v>1.1111111111111112E-2</v>
      </c>
      <c r="Q21" s="8">
        <f t="shared" si="4"/>
        <v>1.1111111111111112E-2</v>
      </c>
      <c r="R21" s="8">
        <f t="shared" si="5"/>
        <v>1.1111111111111112E-2</v>
      </c>
      <c r="S21" s="4">
        <f t="shared" si="6"/>
        <v>2.2222222222222223E-2</v>
      </c>
      <c r="T21" s="6">
        <f t="shared" si="7"/>
        <v>583.5</v>
      </c>
    </row>
    <row r="22" spans="1:20" x14ac:dyDescent="0.3">
      <c r="A22" s="4" t="s">
        <v>71</v>
      </c>
      <c r="B22" s="3" t="s">
        <v>26</v>
      </c>
      <c r="C22" s="4">
        <v>33</v>
      </c>
      <c r="D22" s="4">
        <v>31</v>
      </c>
      <c r="E22" s="4">
        <v>2599</v>
      </c>
      <c r="F22" s="4">
        <v>5</v>
      </c>
      <c r="G22" s="4">
        <v>5</v>
      </c>
      <c r="H22" s="4">
        <f t="shared" si="0"/>
        <v>10</v>
      </c>
      <c r="I22" s="4">
        <f t="shared" si="1"/>
        <v>4</v>
      </c>
      <c r="J22" s="4">
        <v>1</v>
      </c>
      <c r="K22" s="4">
        <v>1</v>
      </c>
      <c r="L22" s="4">
        <v>7</v>
      </c>
      <c r="M22" s="4">
        <v>1</v>
      </c>
      <c r="O22" s="6">
        <f t="shared" si="2"/>
        <v>28.877777777777776</v>
      </c>
      <c r="P22" s="8">
        <f t="shared" si="3"/>
        <v>5.5555555555555552E-2</v>
      </c>
      <c r="Q22" s="8">
        <f t="shared" si="4"/>
        <v>5.5555555555555552E-2</v>
      </c>
      <c r="R22" s="8">
        <f t="shared" si="5"/>
        <v>4.4444444444444446E-2</v>
      </c>
      <c r="S22" s="4">
        <f t="shared" si="6"/>
        <v>0.1111111111111111</v>
      </c>
      <c r="T22" s="6">
        <f t="shared" si="7"/>
        <v>259.89999999999998</v>
      </c>
    </row>
    <row r="23" spans="1:20" x14ac:dyDescent="0.3">
      <c r="A23" s="4" t="s">
        <v>67</v>
      </c>
      <c r="B23" s="3" t="s">
        <v>26</v>
      </c>
      <c r="C23" s="4">
        <v>33</v>
      </c>
      <c r="D23" s="4">
        <v>25</v>
      </c>
      <c r="E23" s="4">
        <v>2104</v>
      </c>
      <c r="F23" s="4">
        <v>3</v>
      </c>
      <c r="G23" s="4">
        <v>2</v>
      </c>
      <c r="H23" s="4">
        <f t="shared" si="0"/>
        <v>5</v>
      </c>
      <c r="I23" s="4">
        <f t="shared" si="1"/>
        <v>3</v>
      </c>
      <c r="J23" s="4">
        <v>0</v>
      </c>
      <c r="K23" s="4">
        <v>0</v>
      </c>
      <c r="L23" s="4">
        <v>1</v>
      </c>
      <c r="M23" s="4">
        <v>0</v>
      </c>
      <c r="O23" s="6">
        <f t="shared" si="2"/>
        <v>23.377777777777776</v>
      </c>
      <c r="P23" s="8">
        <f t="shared" si="3"/>
        <v>3.3333333333333333E-2</v>
      </c>
      <c r="Q23" s="8">
        <f t="shared" si="4"/>
        <v>2.2222222222222223E-2</v>
      </c>
      <c r="R23" s="8">
        <f t="shared" si="5"/>
        <v>3.3333333333333333E-2</v>
      </c>
      <c r="S23" s="4">
        <f t="shared" si="6"/>
        <v>5.5555555555555552E-2</v>
      </c>
      <c r="T23" s="6">
        <f t="shared" si="7"/>
        <v>420.8</v>
      </c>
    </row>
    <row r="24" spans="1:20" x14ac:dyDescent="0.3">
      <c r="B24" s="3"/>
      <c r="F24" s="9">
        <f>SUM(F18:F23)</f>
        <v>14</v>
      </c>
      <c r="G24" s="9">
        <f>SUM(G18:G23)</f>
        <v>14</v>
      </c>
      <c r="O24" s="6"/>
      <c r="P24" s="8">
        <f>SUM(P18:P23)</f>
        <v>0.15555555555555556</v>
      </c>
      <c r="Q24" s="8">
        <f>SUM(Q18:Q23)</f>
        <v>0.15555555555555556</v>
      </c>
      <c r="R24" s="8"/>
      <c r="T24" s="6"/>
    </row>
    <row r="25" spans="1:20" x14ac:dyDescent="0.3">
      <c r="A25" s="1" t="s">
        <v>39</v>
      </c>
      <c r="B25" s="3"/>
      <c r="O25" s="6"/>
      <c r="P25" s="8"/>
      <c r="Q25" s="8"/>
      <c r="R25" s="8"/>
      <c r="T25" s="6"/>
    </row>
    <row r="26" spans="1:20" x14ac:dyDescent="0.3">
      <c r="A26" s="4" t="s">
        <v>57</v>
      </c>
      <c r="B26" s="3" t="s">
        <v>41</v>
      </c>
      <c r="C26" s="4">
        <v>37</v>
      </c>
      <c r="D26" s="4">
        <v>32</v>
      </c>
      <c r="E26" s="4">
        <v>2629</v>
      </c>
      <c r="F26" s="4">
        <v>8</v>
      </c>
      <c r="G26" s="4">
        <v>5</v>
      </c>
      <c r="H26" s="4">
        <f t="shared" si="0"/>
        <v>13</v>
      </c>
      <c r="I26" s="4">
        <f t="shared" si="1"/>
        <v>8</v>
      </c>
      <c r="J26" s="4">
        <v>0</v>
      </c>
      <c r="K26" s="4">
        <v>0</v>
      </c>
      <c r="L26" s="4">
        <v>3</v>
      </c>
      <c r="M26" s="4">
        <v>0</v>
      </c>
      <c r="O26" s="6">
        <f t="shared" si="2"/>
        <v>29.211111111111112</v>
      </c>
      <c r="P26" s="8">
        <f t="shared" si="3"/>
        <v>8.8888888888888892E-2</v>
      </c>
      <c r="Q26" s="8">
        <f t="shared" si="4"/>
        <v>5.5555555555555552E-2</v>
      </c>
      <c r="R26" s="8">
        <f t="shared" si="5"/>
        <v>8.8888888888888892E-2</v>
      </c>
      <c r="S26" s="4">
        <f t="shared" si="6"/>
        <v>0.14444444444444443</v>
      </c>
      <c r="T26" s="6">
        <f t="shared" si="7"/>
        <v>202.23076923076923</v>
      </c>
    </row>
    <row r="27" spans="1:20" x14ac:dyDescent="0.3">
      <c r="A27" s="4" t="s">
        <v>60</v>
      </c>
      <c r="B27" s="3" t="s">
        <v>28</v>
      </c>
      <c r="C27" s="4">
        <v>35</v>
      </c>
      <c r="D27" s="4">
        <v>17</v>
      </c>
      <c r="E27" s="4">
        <v>1649</v>
      </c>
      <c r="F27" s="4">
        <v>8</v>
      </c>
      <c r="G27" s="4">
        <v>5</v>
      </c>
      <c r="H27" s="4">
        <f t="shared" si="0"/>
        <v>13</v>
      </c>
      <c r="I27" s="4">
        <f t="shared" si="1"/>
        <v>8</v>
      </c>
      <c r="J27" s="4">
        <v>0</v>
      </c>
      <c r="K27" s="4">
        <v>0</v>
      </c>
      <c r="L27" s="4">
        <v>1</v>
      </c>
      <c r="M27" s="4">
        <v>0</v>
      </c>
      <c r="O27" s="6">
        <f t="shared" si="2"/>
        <v>18.322222222222223</v>
      </c>
      <c r="P27" s="8">
        <f t="shared" si="3"/>
        <v>8.8888888888888892E-2</v>
      </c>
      <c r="Q27" s="8">
        <f t="shared" si="4"/>
        <v>5.5555555555555552E-2</v>
      </c>
      <c r="R27" s="8">
        <f t="shared" si="5"/>
        <v>8.8888888888888892E-2</v>
      </c>
      <c r="S27" s="4">
        <f t="shared" si="6"/>
        <v>0.14444444444444443</v>
      </c>
      <c r="T27" s="6">
        <f t="shared" si="7"/>
        <v>126.84615384615384</v>
      </c>
    </row>
    <row r="28" spans="1:20" x14ac:dyDescent="0.3">
      <c r="A28" s="4" t="s">
        <v>62</v>
      </c>
      <c r="B28" s="3" t="s">
        <v>41</v>
      </c>
      <c r="C28" s="4">
        <v>21</v>
      </c>
      <c r="D28" s="4">
        <v>14</v>
      </c>
      <c r="E28" s="4">
        <v>1145</v>
      </c>
      <c r="F28" s="4">
        <v>10</v>
      </c>
      <c r="G28" s="4">
        <v>3</v>
      </c>
      <c r="H28" s="4">
        <f t="shared" si="0"/>
        <v>13</v>
      </c>
      <c r="I28" s="4">
        <f t="shared" si="1"/>
        <v>10</v>
      </c>
      <c r="J28" s="4">
        <v>0</v>
      </c>
      <c r="K28" s="4">
        <v>0</v>
      </c>
      <c r="L28" s="4">
        <v>3</v>
      </c>
      <c r="M28" s="4">
        <v>1</v>
      </c>
      <c r="O28" s="6">
        <f t="shared" si="2"/>
        <v>12.722222222222221</v>
      </c>
      <c r="P28" s="8">
        <f t="shared" si="3"/>
        <v>0.1111111111111111</v>
      </c>
      <c r="Q28" s="8">
        <f t="shared" si="4"/>
        <v>3.3333333333333333E-2</v>
      </c>
      <c r="R28" s="8">
        <f t="shared" si="5"/>
        <v>0.1111111111111111</v>
      </c>
      <c r="S28" s="4">
        <f t="shared" si="6"/>
        <v>0.14444444444444443</v>
      </c>
      <c r="T28" s="6">
        <f t="shared" si="7"/>
        <v>88.07692307692308</v>
      </c>
    </row>
    <row r="29" spans="1:20" x14ac:dyDescent="0.3">
      <c r="A29" s="4" t="s">
        <v>65</v>
      </c>
      <c r="B29" s="3" t="s">
        <v>41</v>
      </c>
      <c r="C29" s="4">
        <v>36</v>
      </c>
      <c r="D29" s="4">
        <v>22</v>
      </c>
      <c r="E29" s="4">
        <v>2047</v>
      </c>
      <c r="F29" s="4">
        <v>11</v>
      </c>
      <c r="G29" s="4">
        <v>8</v>
      </c>
      <c r="H29" s="4">
        <f t="shared" si="0"/>
        <v>19</v>
      </c>
      <c r="I29" s="4">
        <f t="shared" si="1"/>
        <v>11</v>
      </c>
      <c r="J29" s="4">
        <v>0</v>
      </c>
      <c r="K29" s="4">
        <v>1</v>
      </c>
      <c r="L29" s="4">
        <v>9</v>
      </c>
      <c r="M29" s="4">
        <v>0</v>
      </c>
      <c r="O29" s="6">
        <f t="shared" si="2"/>
        <v>22.744444444444444</v>
      </c>
      <c r="P29" s="8">
        <f t="shared" si="3"/>
        <v>0.12222222222222222</v>
      </c>
      <c r="Q29" s="8">
        <f t="shared" si="4"/>
        <v>8.8888888888888892E-2</v>
      </c>
      <c r="R29" s="8">
        <f t="shared" si="5"/>
        <v>0.12222222222222222</v>
      </c>
      <c r="S29" s="4">
        <f t="shared" si="6"/>
        <v>0.21111111111111111</v>
      </c>
      <c r="T29" s="6">
        <f t="shared" si="7"/>
        <v>107.73684210526316</v>
      </c>
    </row>
    <row r="30" spans="1:20" x14ac:dyDescent="0.3">
      <c r="A30" s="4" t="s">
        <v>40</v>
      </c>
      <c r="B30" s="3" t="s">
        <v>41</v>
      </c>
      <c r="C30" s="4">
        <v>32</v>
      </c>
      <c r="D30" s="4">
        <v>38</v>
      </c>
      <c r="E30" s="4">
        <v>2534</v>
      </c>
      <c r="F30" s="4">
        <v>18</v>
      </c>
      <c r="G30" s="4">
        <v>10</v>
      </c>
      <c r="H30" s="4">
        <f t="shared" si="0"/>
        <v>28</v>
      </c>
      <c r="I30" s="4">
        <f t="shared" si="1"/>
        <v>13</v>
      </c>
      <c r="J30" s="4">
        <v>5</v>
      </c>
      <c r="K30" s="4">
        <v>7</v>
      </c>
      <c r="L30" s="4">
        <v>2</v>
      </c>
      <c r="M30" s="4">
        <v>0</v>
      </c>
      <c r="O30" s="6">
        <f t="shared" si="2"/>
        <v>28.155555555555555</v>
      </c>
      <c r="P30" s="8">
        <f t="shared" si="3"/>
        <v>0.2</v>
      </c>
      <c r="Q30" s="8">
        <f t="shared" si="4"/>
        <v>0.1111111111111111</v>
      </c>
      <c r="R30" s="8">
        <f t="shared" si="5"/>
        <v>0.14444444444444443</v>
      </c>
      <c r="S30" s="4">
        <f t="shared" si="6"/>
        <v>0.31111111111111112</v>
      </c>
      <c r="T30" s="6">
        <f t="shared" si="7"/>
        <v>90.5</v>
      </c>
    </row>
    <row r="31" spans="1:20" x14ac:dyDescent="0.3">
      <c r="A31" s="1">
        <f>COUNTA(A26:A30,A18:A23,A7:A15,A3:A4)</f>
        <v>22</v>
      </c>
      <c r="B31" s="3"/>
      <c r="E31" s="4">
        <f>AVERAGE(E26:E30,E18:E23,E7:E15,E3:E4)</f>
        <v>1694.409090909091</v>
      </c>
      <c r="F31" s="4">
        <f>SUM(F3:F4,F7:F15,F18:F23,F26:F30)</f>
        <v>80</v>
      </c>
      <c r="G31" s="4">
        <f>SUM(G3:G4,G7:G15,G18:G23,G26:G30)</f>
        <v>60</v>
      </c>
      <c r="H31" s="4">
        <f t="shared" ref="H31:M31" si="9">SUM(H3:H4,H7:H15,H18:H23,H26:H30)</f>
        <v>140</v>
      </c>
      <c r="L31" s="4">
        <f t="shared" si="9"/>
        <v>68</v>
      </c>
      <c r="M31" s="4">
        <f t="shared" si="9"/>
        <v>5</v>
      </c>
      <c r="P31" s="8">
        <f>SUM(P26:P30)</f>
        <v>0.61111111111111116</v>
      </c>
      <c r="Q31" s="8">
        <f>SUM(Q26:Q30)</f>
        <v>0.34444444444444444</v>
      </c>
      <c r="S31" s="4">
        <f>AVERAGE(S3:S4,S7:S15,S18:S23,S26:S30)</f>
        <v>7.0707070707070704E-2</v>
      </c>
    </row>
    <row r="32" spans="1:20" x14ac:dyDescent="0.3">
      <c r="B32" s="3"/>
      <c r="F32" s="9">
        <f>SUM(F26:F30)</f>
        <v>55</v>
      </c>
      <c r="G32" s="9">
        <f>SUM(G26:G30)</f>
        <v>31</v>
      </c>
    </row>
    <row r="33" spans="1:10" x14ac:dyDescent="0.3">
      <c r="B33" s="3"/>
    </row>
    <row r="34" spans="1:10" x14ac:dyDescent="0.3">
      <c r="B34" s="3"/>
    </row>
    <row r="35" spans="1:10" x14ac:dyDescent="0.3">
      <c r="A35" s="1" t="s">
        <v>88</v>
      </c>
      <c r="B35" s="3"/>
    </row>
    <row r="36" spans="1:10" x14ac:dyDescent="0.3">
      <c r="A36" s="35" t="s">
        <v>81</v>
      </c>
      <c r="B36" s="35"/>
      <c r="C36" s="35"/>
      <c r="D36" s="35"/>
      <c r="E36" s="35"/>
      <c r="F36" s="35"/>
      <c r="G36" s="35"/>
      <c r="H36" s="35"/>
      <c r="I36" s="35"/>
      <c r="J36" s="35"/>
    </row>
    <row r="37" spans="1:10" x14ac:dyDescent="0.3">
      <c r="A37" s="35"/>
      <c r="B37" s="35"/>
      <c r="C37" s="35"/>
      <c r="D37" s="35"/>
      <c r="E37" s="35"/>
      <c r="F37" s="35"/>
      <c r="G37" s="35"/>
      <c r="H37" s="35"/>
      <c r="I37" s="35"/>
      <c r="J37" s="35"/>
    </row>
    <row r="38" spans="1:10" x14ac:dyDescent="0.3">
      <c r="A38" s="35" t="s">
        <v>82</v>
      </c>
      <c r="B38" s="35"/>
      <c r="C38" s="35"/>
      <c r="D38" s="35"/>
      <c r="E38" s="35"/>
      <c r="F38" s="35"/>
      <c r="G38" s="35"/>
      <c r="H38" s="35"/>
      <c r="I38" s="35"/>
      <c r="J38" s="35"/>
    </row>
    <row r="39" spans="1:10" x14ac:dyDescent="0.3">
      <c r="A39" s="35"/>
      <c r="B39" s="35"/>
      <c r="C39" s="35"/>
      <c r="D39" s="35"/>
      <c r="E39" s="35"/>
      <c r="F39" s="35"/>
      <c r="G39" s="35"/>
      <c r="H39" s="35"/>
      <c r="I39" s="35"/>
      <c r="J39" s="35"/>
    </row>
    <row r="40" spans="1:10" x14ac:dyDescent="0.3">
      <c r="A40" s="35" t="s">
        <v>83</v>
      </c>
      <c r="B40" s="35"/>
      <c r="C40" s="35"/>
      <c r="D40" s="35"/>
      <c r="E40" s="35"/>
      <c r="F40" s="35"/>
      <c r="G40" s="35"/>
      <c r="H40" s="35"/>
      <c r="I40" s="35"/>
      <c r="J40" s="35"/>
    </row>
    <row r="41" spans="1:10" x14ac:dyDescent="0.3">
      <c r="A41" s="35"/>
      <c r="B41" s="35"/>
      <c r="C41" s="35"/>
      <c r="D41" s="35"/>
      <c r="E41" s="35"/>
      <c r="F41" s="35"/>
      <c r="G41" s="35"/>
      <c r="H41" s="35"/>
      <c r="I41" s="35"/>
      <c r="J41" s="35"/>
    </row>
    <row r="42" spans="1:10" x14ac:dyDescent="0.3">
      <c r="A42" s="35" t="s">
        <v>90</v>
      </c>
      <c r="B42" s="35"/>
      <c r="C42" s="35"/>
      <c r="D42" s="35"/>
      <c r="E42" s="35"/>
      <c r="F42" s="35"/>
      <c r="G42" s="35"/>
      <c r="H42" s="35"/>
      <c r="I42" s="35"/>
      <c r="J42" s="35"/>
    </row>
    <row r="43" spans="1:10" x14ac:dyDescent="0.3">
      <c r="A43" s="35"/>
      <c r="B43" s="35"/>
      <c r="C43" s="35"/>
      <c r="D43" s="35"/>
      <c r="E43" s="35"/>
      <c r="F43" s="35"/>
      <c r="G43" s="35"/>
      <c r="H43" s="35"/>
      <c r="I43" s="35"/>
      <c r="J43" s="35"/>
    </row>
  </sheetData>
  <mergeCells count="6">
    <mergeCell ref="A42:J43"/>
    <mergeCell ref="O1:S1"/>
    <mergeCell ref="T1:T2"/>
    <mergeCell ref="A36:J37"/>
    <mergeCell ref="A38:J39"/>
    <mergeCell ref="A40:J41"/>
  </mergeCells>
  <conditionalFormatting sqref="C3:C35">
    <cfRule type="cellIs" dxfId="5" priority="11" operator="greaterThan">
      <formula>30</formula>
    </cfRule>
  </conditionalFormatting>
  <conditionalFormatting sqref="E3:E30">
    <cfRule type="cellIs" dxfId="4" priority="1" operator="greaterThan">
      <formula>1500</formula>
    </cfRule>
  </conditionalFormatting>
  <conditionalFormatting sqref="E31:E35">
    <cfRule type="top10" dxfId="3" priority="10" percent="1" rank="10"/>
  </conditionalFormatting>
  <conditionalFormatting sqref="F3:F15 G31:M31 F33:F35 F25:F31 F17:F23">
    <cfRule type="colorScale" priority="9">
      <colorScale>
        <cfvo type="min"/>
        <cfvo type="percentile" val="50"/>
        <cfvo type="max"/>
        <color rgb="FFF8696B"/>
        <color rgb="FFFCFCFF"/>
        <color rgb="FF63BE7B"/>
      </colorScale>
    </cfRule>
  </conditionalFormatting>
  <conditionalFormatting sqref="G3:G15 G33:G35 G17:G23 G25:G30">
    <cfRule type="colorScale" priority="8">
      <colorScale>
        <cfvo type="min"/>
        <cfvo type="percentile" val="50"/>
        <cfvo type="max"/>
        <color rgb="FFF8696B"/>
        <color rgb="FFFCFCFF"/>
        <color rgb="FF63BE7B"/>
      </colorScale>
    </cfRule>
  </conditionalFormatting>
  <conditionalFormatting sqref="O3:O30">
    <cfRule type="colorScale" priority="7">
      <colorScale>
        <cfvo type="min"/>
        <cfvo type="percentile" val="50"/>
        <cfvo type="max"/>
        <color rgb="FFF8696B"/>
        <color rgb="FFFCFCFF"/>
        <color rgb="FF63BE7B"/>
      </colorScale>
    </cfRule>
  </conditionalFormatting>
  <conditionalFormatting sqref="P3:P30 Q16 Q24">
    <cfRule type="colorScale" priority="6">
      <colorScale>
        <cfvo type="min"/>
        <cfvo type="percentile" val="50"/>
        <cfvo type="max"/>
        <color rgb="FFF8696B"/>
        <color rgb="FFFCFCFF"/>
        <color rgb="FF63BE7B"/>
      </colorScale>
    </cfRule>
  </conditionalFormatting>
  <conditionalFormatting sqref="Q3:Q15 Q17:Q23 Q25:Q30">
    <cfRule type="colorScale" priority="5">
      <colorScale>
        <cfvo type="min"/>
        <cfvo type="percentile" val="50"/>
        <cfvo type="max"/>
        <color rgb="FFF8696B"/>
        <color rgb="FFFCFCFF"/>
        <color rgb="FF63BE7B"/>
      </colorScale>
    </cfRule>
  </conditionalFormatting>
  <conditionalFormatting sqref="R3:R30">
    <cfRule type="colorScale" priority="4">
      <colorScale>
        <cfvo type="min"/>
        <cfvo type="percentile" val="50"/>
        <cfvo type="max"/>
        <color rgb="FFF8696B"/>
        <color rgb="FFFCFCFF"/>
        <color rgb="FF63BE7B"/>
      </colorScale>
    </cfRule>
  </conditionalFormatting>
  <conditionalFormatting sqref="S3:S30">
    <cfRule type="colorScale" priority="3">
      <colorScale>
        <cfvo type="min"/>
        <cfvo type="percentile" val="50"/>
        <cfvo type="max"/>
        <color rgb="FFF8696B"/>
        <color rgb="FFFCFCFF"/>
        <color rgb="FF63BE7B"/>
      </colorScale>
    </cfRule>
  </conditionalFormatting>
  <conditionalFormatting sqref="T7:T30">
    <cfRule type="colorScale" priority="2">
      <colorScale>
        <cfvo type="min"/>
        <cfvo type="percentile" val="50"/>
        <cfvo type="max"/>
        <color rgb="FFF8696B"/>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A759-2797-4931-BCA9-379D45074C66}">
  <dimension ref="A1:T44"/>
  <sheetViews>
    <sheetView zoomScale="78" zoomScaleNormal="70" workbookViewId="0">
      <selection activeCell="BD17" sqref="BD17"/>
    </sheetView>
  </sheetViews>
  <sheetFormatPr defaultRowHeight="15.6" x14ac:dyDescent="0.3"/>
  <cols>
    <col min="1" max="1" width="26.33203125" style="4" bestFit="1" customWidth="1"/>
    <col min="2" max="2" width="12.88671875" style="4" customWidth="1"/>
    <col min="3" max="14" width="8.88671875" style="4"/>
    <col min="15" max="15" width="12.6640625" style="4" bestFit="1" customWidth="1"/>
    <col min="16" max="19" width="8.88671875" style="4"/>
    <col min="20" max="20" width="11.21875" style="4" customWidth="1"/>
    <col min="21" max="16384" width="8.88671875" style="4"/>
  </cols>
  <sheetData>
    <row r="1" spans="1:20" x14ac:dyDescent="0.3">
      <c r="A1" s="1"/>
      <c r="B1" s="2" t="s">
        <v>13</v>
      </c>
      <c r="C1" s="2" t="s">
        <v>3</v>
      </c>
      <c r="D1" s="2" t="s">
        <v>4</v>
      </c>
      <c r="E1" s="2" t="s">
        <v>5</v>
      </c>
      <c r="F1" s="2" t="s">
        <v>6</v>
      </c>
      <c r="G1" s="2" t="s">
        <v>7</v>
      </c>
      <c r="H1" s="2" t="s">
        <v>8</v>
      </c>
      <c r="I1" s="2" t="s">
        <v>9</v>
      </c>
      <c r="J1" s="2" t="s">
        <v>33</v>
      </c>
      <c r="K1" s="2" t="s">
        <v>10</v>
      </c>
      <c r="L1" s="2" t="s">
        <v>11</v>
      </c>
      <c r="M1" s="2" t="s">
        <v>12</v>
      </c>
      <c r="O1" s="37" t="s">
        <v>72</v>
      </c>
      <c r="P1" s="37"/>
      <c r="Q1" s="37"/>
      <c r="R1" s="37"/>
      <c r="S1" s="37"/>
      <c r="T1" s="36" t="s">
        <v>52</v>
      </c>
    </row>
    <row r="2" spans="1:20" x14ac:dyDescent="0.3">
      <c r="A2" s="1" t="s">
        <v>0</v>
      </c>
      <c r="B2" s="3"/>
      <c r="O2" s="2" t="s">
        <v>45</v>
      </c>
      <c r="P2" s="2" t="s">
        <v>6</v>
      </c>
      <c r="Q2" s="2" t="s">
        <v>7</v>
      </c>
      <c r="R2" s="2" t="s">
        <v>9</v>
      </c>
      <c r="S2" s="2" t="s">
        <v>8</v>
      </c>
      <c r="T2" s="36"/>
    </row>
    <row r="3" spans="1:20" x14ac:dyDescent="0.3">
      <c r="A3" s="4" t="s">
        <v>1</v>
      </c>
      <c r="B3" s="3" t="s">
        <v>21</v>
      </c>
      <c r="C3" s="4">
        <v>28</v>
      </c>
      <c r="D3" s="4">
        <v>28</v>
      </c>
      <c r="E3" s="4">
        <v>2508</v>
      </c>
      <c r="F3" s="4">
        <v>0</v>
      </c>
      <c r="G3" s="4">
        <v>0</v>
      </c>
      <c r="H3" s="5">
        <f>SUM(F3,G3)</f>
        <v>0</v>
      </c>
      <c r="I3" s="5">
        <f>F3-J3</f>
        <v>0</v>
      </c>
      <c r="J3" s="4">
        <v>0</v>
      </c>
      <c r="K3" s="4">
        <v>0</v>
      </c>
      <c r="L3" s="4">
        <v>0</v>
      </c>
      <c r="M3" s="4">
        <v>0</v>
      </c>
      <c r="O3" s="6">
        <f>E3/90</f>
        <v>27.866666666666667</v>
      </c>
      <c r="P3" s="6">
        <f>F3/90</f>
        <v>0</v>
      </c>
      <c r="Q3" s="4">
        <f>G3/90</f>
        <v>0</v>
      </c>
      <c r="R3" s="4">
        <f>I3/90</f>
        <v>0</v>
      </c>
      <c r="S3" s="6">
        <f>H3/90</f>
        <v>0</v>
      </c>
    </row>
    <row r="4" spans="1:20" x14ac:dyDescent="0.3">
      <c r="A4" s="4" t="s">
        <v>55</v>
      </c>
      <c r="B4" s="3" t="s">
        <v>21</v>
      </c>
      <c r="C4" s="4">
        <v>10</v>
      </c>
      <c r="D4" s="4">
        <v>10</v>
      </c>
      <c r="E4" s="4">
        <v>900</v>
      </c>
      <c r="F4" s="4">
        <v>0</v>
      </c>
      <c r="G4" s="4">
        <v>0</v>
      </c>
      <c r="H4" s="5">
        <f>SUM(F4,G4)</f>
        <v>0</v>
      </c>
      <c r="I4" s="5">
        <f t="shared" ref="I4:I30" si="0">F4-J4</f>
        <v>0</v>
      </c>
      <c r="J4" s="4">
        <v>0</v>
      </c>
      <c r="K4" s="4">
        <v>0</v>
      </c>
      <c r="L4" s="4">
        <v>0</v>
      </c>
      <c r="M4" s="4">
        <v>0</v>
      </c>
      <c r="O4" s="6">
        <f t="shared" ref="O4:O30" si="1">E4/90</f>
        <v>10</v>
      </c>
      <c r="P4" s="6">
        <f t="shared" ref="P4:P30" si="2">F4/90</f>
        <v>0</v>
      </c>
      <c r="Q4" s="4">
        <f>G4/90</f>
        <v>0</v>
      </c>
      <c r="R4" s="4">
        <f>I4/90</f>
        <v>0</v>
      </c>
      <c r="S4" s="6">
        <f t="shared" ref="S4:S30" si="3">H4/90</f>
        <v>0</v>
      </c>
    </row>
    <row r="5" spans="1:20" x14ac:dyDescent="0.3">
      <c r="B5" s="3"/>
      <c r="H5" s="5"/>
      <c r="I5" s="5"/>
      <c r="O5" s="6"/>
      <c r="P5" s="6"/>
      <c r="S5" s="6"/>
    </row>
    <row r="6" spans="1:20" x14ac:dyDescent="0.3">
      <c r="A6" s="1" t="s">
        <v>14</v>
      </c>
      <c r="B6" s="3"/>
      <c r="H6" s="5"/>
      <c r="I6" s="5"/>
      <c r="O6" s="6"/>
      <c r="P6" s="6"/>
      <c r="S6" s="6"/>
    </row>
    <row r="7" spans="1:20" x14ac:dyDescent="0.3">
      <c r="A7" s="4" t="s">
        <v>53</v>
      </c>
      <c r="B7" s="3" t="s">
        <v>20</v>
      </c>
      <c r="C7" s="4">
        <v>37</v>
      </c>
      <c r="D7" s="4">
        <v>37</v>
      </c>
      <c r="E7" s="4">
        <v>3330</v>
      </c>
      <c r="F7" s="4">
        <v>3</v>
      </c>
      <c r="G7" s="4">
        <v>1</v>
      </c>
      <c r="H7" s="5">
        <f>SUM(F7,G7)</f>
        <v>4</v>
      </c>
      <c r="I7" s="5">
        <f t="shared" si="0"/>
        <v>3</v>
      </c>
      <c r="J7" s="4">
        <v>0</v>
      </c>
      <c r="K7" s="4">
        <v>0</v>
      </c>
      <c r="L7" s="4">
        <v>5</v>
      </c>
      <c r="M7" s="4">
        <v>0</v>
      </c>
      <c r="O7" s="6">
        <f t="shared" si="1"/>
        <v>37</v>
      </c>
      <c r="P7" s="6">
        <f t="shared" si="2"/>
        <v>3.3333333333333333E-2</v>
      </c>
      <c r="Q7" s="8">
        <f>G7/90</f>
        <v>1.1111111111111112E-2</v>
      </c>
      <c r="R7" s="4">
        <f>I7/90</f>
        <v>3.3333333333333333E-2</v>
      </c>
      <c r="S7" s="6">
        <f t="shared" si="3"/>
        <v>4.4444444444444446E-2</v>
      </c>
      <c r="T7" s="6">
        <f t="shared" ref="T7:T30" si="4">E7/H7</f>
        <v>832.5</v>
      </c>
    </row>
    <row r="8" spans="1:20" x14ac:dyDescent="0.3">
      <c r="A8" s="4" t="s">
        <v>16</v>
      </c>
      <c r="B8" s="3" t="s">
        <v>20</v>
      </c>
      <c r="C8" s="4">
        <v>9</v>
      </c>
      <c r="D8" s="4">
        <v>6</v>
      </c>
      <c r="E8" s="4">
        <v>519</v>
      </c>
      <c r="F8" s="4">
        <v>0</v>
      </c>
      <c r="G8" s="4">
        <v>0</v>
      </c>
      <c r="H8" s="5">
        <f t="shared" ref="H8:H30" si="5">SUM(F8,G8)</f>
        <v>0</v>
      </c>
      <c r="I8" s="5">
        <f t="shared" si="0"/>
        <v>0</v>
      </c>
      <c r="J8" s="4">
        <v>0</v>
      </c>
      <c r="K8" s="4">
        <v>0</v>
      </c>
      <c r="L8" s="4">
        <v>1</v>
      </c>
      <c r="M8" s="4">
        <v>0</v>
      </c>
      <c r="O8" s="6">
        <f t="shared" si="1"/>
        <v>5.7666666666666666</v>
      </c>
      <c r="P8" s="6">
        <f t="shared" si="2"/>
        <v>0</v>
      </c>
      <c r="Q8" s="8">
        <f t="shared" ref="Q8:Q14" si="6">G8/90</f>
        <v>0</v>
      </c>
      <c r="R8" s="4">
        <f t="shared" ref="R8:R30" si="7">I8/90</f>
        <v>0</v>
      </c>
      <c r="S8" s="6">
        <f t="shared" si="3"/>
        <v>0</v>
      </c>
      <c r="T8" s="6"/>
    </row>
    <row r="9" spans="1:20" x14ac:dyDescent="0.3">
      <c r="A9" s="4" t="s">
        <v>17</v>
      </c>
      <c r="B9" s="3" t="s">
        <v>20</v>
      </c>
      <c r="C9" s="4">
        <v>33</v>
      </c>
      <c r="D9" s="4">
        <v>28</v>
      </c>
      <c r="E9" s="4">
        <v>2365</v>
      </c>
      <c r="F9" s="4">
        <v>3</v>
      </c>
      <c r="G9" s="4">
        <v>6</v>
      </c>
      <c r="H9" s="5">
        <f t="shared" si="5"/>
        <v>9</v>
      </c>
      <c r="I9" s="5">
        <f t="shared" si="0"/>
        <v>3</v>
      </c>
      <c r="J9" s="4">
        <v>0</v>
      </c>
      <c r="K9" s="4">
        <v>0</v>
      </c>
      <c r="L9" s="4">
        <v>5</v>
      </c>
      <c r="M9" s="4">
        <v>0</v>
      </c>
      <c r="O9" s="6">
        <f t="shared" si="1"/>
        <v>26.277777777777779</v>
      </c>
      <c r="P9" s="6">
        <f t="shared" si="2"/>
        <v>3.3333333333333333E-2</v>
      </c>
      <c r="Q9" s="8">
        <f t="shared" si="6"/>
        <v>6.6666666666666666E-2</v>
      </c>
      <c r="R9" s="4">
        <f t="shared" si="7"/>
        <v>3.3333333333333333E-2</v>
      </c>
      <c r="S9" s="6">
        <f t="shared" si="3"/>
        <v>0.1</v>
      </c>
      <c r="T9" s="6">
        <f t="shared" si="4"/>
        <v>262.77777777777777</v>
      </c>
    </row>
    <row r="10" spans="1:20" x14ac:dyDescent="0.3">
      <c r="A10" s="4" t="s">
        <v>56</v>
      </c>
      <c r="B10" s="3" t="s">
        <v>20</v>
      </c>
      <c r="C10" s="4">
        <v>19</v>
      </c>
      <c r="D10" s="4">
        <v>7</v>
      </c>
      <c r="E10" s="4">
        <v>754</v>
      </c>
      <c r="F10" s="4">
        <v>0</v>
      </c>
      <c r="G10" s="4">
        <v>2</v>
      </c>
      <c r="H10" s="5">
        <f t="shared" si="5"/>
        <v>2</v>
      </c>
      <c r="I10" s="5">
        <f t="shared" si="0"/>
        <v>0</v>
      </c>
      <c r="J10" s="4">
        <v>0</v>
      </c>
      <c r="K10" s="4">
        <v>0</v>
      </c>
      <c r="L10" s="4">
        <v>4</v>
      </c>
      <c r="M10" s="4">
        <v>0</v>
      </c>
      <c r="O10" s="6">
        <f t="shared" si="1"/>
        <v>8.3777777777777782</v>
      </c>
      <c r="P10" s="6">
        <f t="shared" si="2"/>
        <v>0</v>
      </c>
      <c r="Q10" s="8">
        <f t="shared" si="6"/>
        <v>2.2222222222222223E-2</v>
      </c>
      <c r="R10" s="4">
        <f t="shared" si="7"/>
        <v>0</v>
      </c>
      <c r="S10" s="6">
        <f t="shared" si="3"/>
        <v>2.2222222222222223E-2</v>
      </c>
      <c r="T10" s="6">
        <f t="shared" si="4"/>
        <v>377</v>
      </c>
    </row>
    <row r="11" spans="1:20" x14ac:dyDescent="0.3">
      <c r="A11" s="4" t="s">
        <v>19</v>
      </c>
      <c r="B11" s="3" t="s">
        <v>20</v>
      </c>
      <c r="C11" s="4">
        <v>33</v>
      </c>
      <c r="D11" s="4">
        <v>29</v>
      </c>
      <c r="E11" s="4">
        <v>2482</v>
      </c>
      <c r="F11" s="4">
        <v>0</v>
      </c>
      <c r="G11" s="4">
        <v>1</v>
      </c>
      <c r="H11" s="5">
        <f t="shared" si="5"/>
        <v>1</v>
      </c>
      <c r="I11" s="5">
        <f t="shared" si="0"/>
        <v>0</v>
      </c>
      <c r="J11" s="4">
        <v>0</v>
      </c>
      <c r="K11" s="4">
        <v>0</v>
      </c>
      <c r="L11" s="4">
        <v>3</v>
      </c>
      <c r="M11" s="4">
        <v>1</v>
      </c>
      <c r="O11" s="6">
        <f t="shared" si="1"/>
        <v>27.577777777777779</v>
      </c>
      <c r="P11" s="6">
        <f t="shared" si="2"/>
        <v>0</v>
      </c>
      <c r="Q11" s="8">
        <f t="shared" si="6"/>
        <v>1.1111111111111112E-2</v>
      </c>
      <c r="R11" s="4">
        <f t="shared" si="7"/>
        <v>0</v>
      </c>
      <c r="S11" s="6">
        <f t="shared" si="3"/>
        <v>1.1111111111111112E-2</v>
      </c>
      <c r="T11" s="6">
        <f t="shared" si="4"/>
        <v>2482</v>
      </c>
    </row>
    <row r="12" spans="1:20" x14ac:dyDescent="0.3">
      <c r="A12" s="4" t="s">
        <v>63</v>
      </c>
      <c r="B12" s="3" t="s">
        <v>20</v>
      </c>
      <c r="C12" s="4">
        <v>31</v>
      </c>
      <c r="D12" s="4">
        <v>30</v>
      </c>
      <c r="E12" s="4">
        <v>2560</v>
      </c>
      <c r="F12" s="4">
        <v>1</v>
      </c>
      <c r="G12" s="4">
        <v>2</v>
      </c>
      <c r="H12" s="5">
        <f t="shared" si="5"/>
        <v>3</v>
      </c>
      <c r="I12" s="5">
        <f t="shared" si="0"/>
        <v>1</v>
      </c>
      <c r="J12" s="4">
        <v>0</v>
      </c>
      <c r="K12" s="4">
        <v>0</v>
      </c>
      <c r="L12" s="4">
        <v>5</v>
      </c>
      <c r="M12" s="4">
        <v>0</v>
      </c>
      <c r="O12" s="6">
        <f t="shared" si="1"/>
        <v>28.444444444444443</v>
      </c>
      <c r="P12" s="6">
        <f t="shared" si="2"/>
        <v>1.1111111111111112E-2</v>
      </c>
      <c r="Q12" s="8">
        <f t="shared" si="6"/>
        <v>2.2222222222222223E-2</v>
      </c>
      <c r="R12" s="4">
        <f t="shared" si="7"/>
        <v>1.1111111111111112E-2</v>
      </c>
      <c r="S12" s="6">
        <f t="shared" si="3"/>
        <v>3.3333333333333333E-2</v>
      </c>
      <c r="T12" s="6">
        <f t="shared" si="4"/>
        <v>853.33333333333337</v>
      </c>
    </row>
    <row r="13" spans="1:20" x14ac:dyDescent="0.3">
      <c r="A13" s="4" t="s">
        <v>66</v>
      </c>
      <c r="B13" s="3" t="s">
        <v>20</v>
      </c>
      <c r="C13" s="4">
        <v>13</v>
      </c>
      <c r="D13" s="4">
        <v>4</v>
      </c>
      <c r="E13" s="4">
        <v>495</v>
      </c>
      <c r="F13" s="4">
        <v>0</v>
      </c>
      <c r="G13" s="4">
        <v>0</v>
      </c>
      <c r="H13" s="5">
        <f t="shared" si="5"/>
        <v>0</v>
      </c>
      <c r="I13" s="5">
        <f t="shared" si="0"/>
        <v>0</v>
      </c>
      <c r="J13" s="4">
        <v>0</v>
      </c>
      <c r="K13" s="4">
        <v>0</v>
      </c>
      <c r="L13" s="4">
        <v>2</v>
      </c>
      <c r="M13" s="4">
        <v>0</v>
      </c>
      <c r="O13" s="6">
        <f t="shared" si="1"/>
        <v>5.5</v>
      </c>
      <c r="P13" s="6">
        <f t="shared" si="2"/>
        <v>0</v>
      </c>
      <c r="Q13" s="8">
        <f t="shared" si="6"/>
        <v>0</v>
      </c>
      <c r="R13" s="4">
        <f t="shared" si="7"/>
        <v>0</v>
      </c>
      <c r="S13" s="6">
        <f t="shared" si="3"/>
        <v>0</v>
      </c>
      <c r="T13" s="6"/>
    </row>
    <row r="14" spans="1:20" x14ac:dyDescent="0.3">
      <c r="A14" s="4" t="s">
        <v>68</v>
      </c>
      <c r="B14" s="3" t="s">
        <v>20</v>
      </c>
      <c r="C14" s="4">
        <v>18</v>
      </c>
      <c r="D14" s="4">
        <v>9</v>
      </c>
      <c r="E14" s="4">
        <v>837</v>
      </c>
      <c r="F14" s="4">
        <v>0</v>
      </c>
      <c r="G14" s="4">
        <v>1</v>
      </c>
      <c r="H14" s="5">
        <f t="shared" si="5"/>
        <v>1</v>
      </c>
      <c r="I14" s="5">
        <f t="shared" si="0"/>
        <v>0</v>
      </c>
      <c r="J14" s="4">
        <v>0</v>
      </c>
      <c r="K14" s="4">
        <v>0</v>
      </c>
      <c r="L14" s="4">
        <v>2</v>
      </c>
      <c r="M14" s="4">
        <v>0</v>
      </c>
      <c r="O14" s="6">
        <f t="shared" si="1"/>
        <v>9.3000000000000007</v>
      </c>
      <c r="P14" s="6">
        <f t="shared" si="2"/>
        <v>0</v>
      </c>
      <c r="Q14" s="8">
        <f t="shared" si="6"/>
        <v>1.1111111111111112E-2</v>
      </c>
      <c r="R14" s="4">
        <f t="shared" si="7"/>
        <v>0</v>
      </c>
      <c r="S14" s="6">
        <f t="shared" si="3"/>
        <v>1.1111111111111112E-2</v>
      </c>
      <c r="T14" s="6">
        <f t="shared" si="4"/>
        <v>837</v>
      </c>
    </row>
    <row r="15" spans="1:20" x14ac:dyDescent="0.3">
      <c r="B15" s="3"/>
      <c r="F15" s="9">
        <f>SUM(F7:F14)</f>
        <v>7</v>
      </c>
      <c r="G15" s="9">
        <f>SUM(G7:G14)</f>
        <v>13</v>
      </c>
      <c r="H15" s="5"/>
      <c r="I15" s="5"/>
      <c r="O15" s="6"/>
      <c r="P15" s="6">
        <f>SUM(P7:P14)</f>
        <v>7.7777777777777779E-2</v>
      </c>
      <c r="Q15" s="6">
        <f>SUM(Q7:Q14)</f>
        <v>0.14444444444444443</v>
      </c>
      <c r="S15" s="6"/>
      <c r="T15" s="6"/>
    </row>
    <row r="16" spans="1:20" x14ac:dyDescent="0.3">
      <c r="A16" s="1" t="s">
        <v>24</v>
      </c>
      <c r="B16" s="3"/>
      <c r="H16" s="5"/>
      <c r="I16" s="5"/>
      <c r="O16" s="6"/>
      <c r="P16" s="6"/>
      <c r="Q16" s="8"/>
      <c r="S16" s="6"/>
      <c r="T16" s="6"/>
    </row>
    <row r="17" spans="1:20" x14ac:dyDescent="0.3">
      <c r="A17" s="4" t="s">
        <v>58</v>
      </c>
      <c r="B17" s="3" t="s">
        <v>26</v>
      </c>
      <c r="C17" s="4">
        <v>18</v>
      </c>
      <c r="D17" s="4">
        <v>2</v>
      </c>
      <c r="E17" s="4">
        <v>371</v>
      </c>
      <c r="F17" s="4">
        <v>1</v>
      </c>
      <c r="G17" s="4">
        <v>2</v>
      </c>
      <c r="H17" s="5">
        <f t="shared" si="5"/>
        <v>3</v>
      </c>
      <c r="I17" s="5">
        <f t="shared" si="0"/>
        <v>1</v>
      </c>
      <c r="J17" s="4">
        <v>0</v>
      </c>
      <c r="K17" s="4">
        <v>0</v>
      </c>
      <c r="L17" s="4">
        <v>1</v>
      </c>
      <c r="M17" s="4">
        <v>0</v>
      </c>
      <c r="O17" s="6">
        <f t="shared" si="1"/>
        <v>4.1222222222222218</v>
      </c>
      <c r="P17" s="6">
        <f t="shared" si="2"/>
        <v>1.1111111111111112E-2</v>
      </c>
      <c r="Q17" s="8">
        <f>G17/90</f>
        <v>2.2222222222222223E-2</v>
      </c>
      <c r="R17" s="4">
        <f t="shared" si="7"/>
        <v>1.1111111111111112E-2</v>
      </c>
      <c r="S17" s="6">
        <f t="shared" si="3"/>
        <v>3.3333333333333333E-2</v>
      </c>
      <c r="T17" s="6">
        <f t="shared" si="4"/>
        <v>123.66666666666667</v>
      </c>
    </row>
    <row r="18" spans="1:20" x14ac:dyDescent="0.3">
      <c r="A18" s="4" t="s">
        <v>59</v>
      </c>
      <c r="B18" s="3" t="s">
        <v>32</v>
      </c>
      <c r="C18" s="4">
        <v>20</v>
      </c>
      <c r="D18" s="4">
        <v>1</v>
      </c>
      <c r="E18" s="4">
        <v>273</v>
      </c>
      <c r="F18" s="4">
        <v>0</v>
      </c>
      <c r="G18" s="4">
        <v>0</v>
      </c>
      <c r="H18" s="5">
        <f t="shared" si="5"/>
        <v>0</v>
      </c>
      <c r="I18" s="5">
        <f t="shared" si="0"/>
        <v>0</v>
      </c>
      <c r="J18" s="4">
        <v>0</v>
      </c>
      <c r="K18" s="4">
        <v>0</v>
      </c>
      <c r="L18" s="4">
        <v>0</v>
      </c>
      <c r="M18" s="4">
        <v>0</v>
      </c>
      <c r="O18" s="6">
        <f t="shared" si="1"/>
        <v>3.0333333333333332</v>
      </c>
      <c r="P18" s="6">
        <f t="shared" si="2"/>
        <v>0</v>
      </c>
      <c r="Q18" s="8">
        <f t="shared" ref="Q18:Q22" si="8">G18/90</f>
        <v>0</v>
      </c>
      <c r="R18" s="4">
        <f t="shared" si="7"/>
        <v>0</v>
      </c>
      <c r="S18" s="6">
        <f t="shared" si="3"/>
        <v>0</v>
      </c>
      <c r="T18" s="6"/>
    </row>
    <row r="19" spans="1:20" x14ac:dyDescent="0.3">
      <c r="A19" s="4" t="s">
        <v>70</v>
      </c>
      <c r="B19" s="3" t="s">
        <v>26</v>
      </c>
      <c r="C19" s="4">
        <v>37</v>
      </c>
      <c r="D19" s="4">
        <v>37</v>
      </c>
      <c r="E19" s="4">
        <v>3160</v>
      </c>
      <c r="F19" s="4">
        <v>0</v>
      </c>
      <c r="G19" s="4">
        <v>4</v>
      </c>
      <c r="H19" s="5">
        <f t="shared" si="5"/>
        <v>4</v>
      </c>
      <c r="I19" s="5">
        <f t="shared" si="0"/>
        <v>0</v>
      </c>
      <c r="J19" s="4">
        <v>0</v>
      </c>
      <c r="K19" s="4">
        <v>0</v>
      </c>
      <c r="L19" s="4">
        <v>6</v>
      </c>
      <c r="M19" s="4">
        <v>1</v>
      </c>
      <c r="O19" s="6">
        <f t="shared" si="1"/>
        <v>35.111111111111114</v>
      </c>
      <c r="P19" s="6">
        <f t="shared" si="2"/>
        <v>0</v>
      </c>
      <c r="Q19" s="8">
        <f t="shared" si="8"/>
        <v>4.4444444444444446E-2</v>
      </c>
      <c r="R19" s="4">
        <f t="shared" si="7"/>
        <v>0</v>
      </c>
      <c r="S19" s="6">
        <f t="shared" si="3"/>
        <v>4.4444444444444446E-2</v>
      </c>
      <c r="T19" s="6">
        <f t="shared" si="4"/>
        <v>790</v>
      </c>
    </row>
    <row r="20" spans="1:20" x14ac:dyDescent="0.3">
      <c r="A20" s="4" t="s">
        <v>71</v>
      </c>
      <c r="B20" s="3" t="s">
        <v>26</v>
      </c>
      <c r="C20" s="4">
        <v>35</v>
      </c>
      <c r="D20" s="4">
        <v>30</v>
      </c>
      <c r="E20" s="4">
        <v>2599</v>
      </c>
      <c r="F20" s="4">
        <v>5</v>
      </c>
      <c r="G20" s="4">
        <v>5</v>
      </c>
      <c r="H20" s="5">
        <f t="shared" si="5"/>
        <v>10</v>
      </c>
      <c r="I20" s="5">
        <f t="shared" si="0"/>
        <v>5</v>
      </c>
      <c r="J20" s="4">
        <v>0</v>
      </c>
      <c r="K20" s="4">
        <v>0</v>
      </c>
      <c r="L20" s="4">
        <v>6</v>
      </c>
      <c r="M20" s="4">
        <v>0</v>
      </c>
      <c r="O20" s="6">
        <f t="shared" si="1"/>
        <v>28.877777777777776</v>
      </c>
      <c r="P20" s="6">
        <f t="shared" si="2"/>
        <v>5.5555555555555552E-2</v>
      </c>
      <c r="Q20" s="8">
        <f t="shared" si="8"/>
        <v>5.5555555555555552E-2</v>
      </c>
      <c r="R20" s="4">
        <f t="shared" si="7"/>
        <v>5.5555555555555552E-2</v>
      </c>
      <c r="S20" s="6">
        <f t="shared" si="3"/>
        <v>0.1111111111111111</v>
      </c>
      <c r="T20" s="6">
        <f t="shared" si="4"/>
        <v>259.89999999999998</v>
      </c>
    </row>
    <row r="21" spans="1:20" x14ac:dyDescent="0.3">
      <c r="A21" s="4" t="s">
        <v>67</v>
      </c>
      <c r="B21" s="3" t="s">
        <v>26</v>
      </c>
      <c r="C21" s="4">
        <v>36</v>
      </c>
      <c r="D21" s="4">
        <v>29</v>
      </c>
      <c r="E21" s="4">
        <v>2491</v>
      </c>
      <c r="F21" s="4">
        <v>6</v>
      </c>
      <c r="G21" s="4">
        <v>6</v>
      </c>
      <c r="H21" s="5">
        <f t="shared" si="5"/>
        <v>12</v>
      </c>
      <c r="I21" s="5">
        <f t="shared" si="0"/>
        <v>6</v>
      </c>
      <c r="J21" s="4">
        <v>0</v>
      </c>
      <c r="K21" s="4">
        <v>0</v>
      </c>
      <c r="L21" s="4">
        <v>6</v>
      </c>
      <c r="M21" s="4">
        <v>0</v>
      </c>
      <c r="O21" s="6">
        <f t="shared" si="1"/>
        <v>27.677777777777777</v>
      </c>
      <c r="P21" s="6">
        <f t="shared" si="2"/>
        <v>6.6666666666666666E-2</v>
      </c>
      <c r="Q21" s="8">
        <f t="shared" si="8"/>
        <v>6.6666666666666666E-2</v>
      </c>
      <c r="R21" s="4">
        <f t="shared" si="7"/>
        <v>6.6666666666666666E-2</v>
      </c>
      <c r="S21" s="6">
        <f t="shared" si="3"/>
        <v>0.13333333333333333</v>
      </c>
      <c r="T21" s="6">
        <f t="shared" si="4"/>
        <v>207.58333333333334</v>
      </c>
    </row>
    <row r="22" spans="1:20" x14ac:dyDescent="0.3">
      <c r="A22" s="4" t="s">
        <v>36</v>
      </c>
      <c r="B22" s="3" t="s">
        <v>26</v>
      </c>
      <c r="C22" s="4">
        <v>33</v>
      </c>
      <c r="D22" s="4">
        <v>19</v>
      </c>
      <c r="E22" s="4">
        <v>1712</v>
      </c>
      <c r="F22" s="4">
        <v>3</v>
      </c>
      <c r="G22" s="4">
        <v>3</v>
      </c>
      <c r="H22" s="5">
        <f t="shared" si="5"/>
        <v>6</v>
      </c>
      <c r="I22" s="5">
        <f t="shared" si="0"/>
        <v>3</v>
      </c>
      <c r="J22" s="4">
        <v>0</v>
      </c>
      <c r="K22" s="4">
        <v>0</v>
      </c>
      <c r="L22" s="4">
        <v>3</v>
      </c>
      <c r="M22" s="4">
        <v>1</v>
      </c>
      <c r="O22" s="6">
        <f t="shared" si="1"/>
        <v>19.022222222222222</v>
      </c>
      <c r="P22" s="6">
        <f t="shared" si="2"/>
        <v>3.3333333333333333E-2</v>
      </c>
      <c r="Q22" s="8">
        <f t="shared" si="8"/>
        <v>3.3333333333333333E-2</v>
      </c>
      <c r="R22" s="4">
        <f t="shared" si="7"/>
        <v>3.3333333333333333E-2</v>
      </c>
      <c r="S22" s="6">
        <f t="shared" si="3"/>
        <v>6.6666666666666666E-2</v>
      </c>
      <c r="T22" s="6">
        <f t="shared" si="4"/>
        <v>285.33333333333331</v>
      </c>
    </row>
    <row r="23" spans="1:20" x14ac:dyDescent="0.3">
      <c r="B23" s="3"/>
      <c r="F23" s="9">
        <f>SUM(F17:F22)</f>
        <v>15</v>
      </c>
      <c r="G23" s="9">
        <f>SUM(G17:G22)</f>
        <v>20</v>
      </c>
      <c r="H23" s="5"/>
      <c r="I23" s="5"/>
      <c r="O23" s="6"/>
      <c r="P23" s="6">
        <f>SUM(P17:P22)</f>
        <v>0.16666666666666666</v>
      </c>
      <c r="Q23" s="6">
        <f>SUM(Q17:Q22)</f>
        <v>0.22222222222222221</v>
      </c>
      <c r="S23" s="6"/>
      <c r="T23" s="6"/>
    </row>
    <row r="24" spans="1:20" x14ac:dyDescent="0.3">
      <c r="A24" s="1" t="s">
        <v>39</v>
      </c>
      <c r="B24" s="3"/>
      <c r="H24" s="5"/>
      <c r="I24" s="5"/>
      <c r="O24" s="6"/>
      <c r="P24" s="6"/>
      <c r="Q24" s="8"/>
      <c r="S24" s="6"/>
      <c r="T24" s="6"/>
    </row>
    <row r="25" spans="1:20" x14ac:dyDescent="0.3">
      <c r="A25" s="4" t="s">
        <v>40</v>
      </c>
      <c r="B25" s="3" t="s">
        <v>41</v>
      </c>
      <c r="C25" s="4">
        <v>38</v>
      </c>
      <c r="D25" s="4">
        <v>38</v>
      </c>
      <c r="E25" s="4">
        <v>3371</v>
      </c>
      <c r="F25" s="4">
        <v>29</v>
      </c>
      <c r="G25" s="4">
        <v>18</v>
      </c>
      <c r="H25" s="5">
        <f t="shared" si="5"/>
        <v>47</v>
      </c>
      <c r="I25" s="5">
        <f t="shared" si="0"/>
        <v>20</v>
      </c>
      <c r="J25" s="4">
        <v>9</v>
      </c>
      <c r="K25" s="4">
        <v>9</v>
      </c>
      <c r="L25" s="4">
        <v>1</v>
      </c>
      <c r="M25" s="4">
        <v>0</v>
      </c>
      <c r="O25" s="6">
        <f t="shared" si="1"/>
        <v>37.455555555555556</v>
      </c>
      <c r="P25" s="6">
        <f t="shared" si="2"/>
        <v>0.32222222222222224</v>
      </c>
      <c r="Q25" s="8">
        <f>G25/90</f>
        <v>0.2</v>
      </c>
      <c r="R25" s="4">
        <f t="shared" si="7"/>
        <v>0.22222222222222221</v>
      </c>
      <c r="S25" s="6">
        <f t="shared" si="3"/>
        <v>0.52222222222222225</v>
      </c>
      <c r="T25" s="6">
        <f t="shared" si="4"/>
        <v>71.723404255319153</v>
      </c>
    </row>
    <row r="26" spans="1:20" x14ac:dyDescent="0.3">
      <c r="A26" s="4" t="s">
        <v>69</v>
      </c>
      <c r="B26" s="3" t="s">
        <v>41</v>
      </c>
      <c r="C26" s="4">
        <v>6</v>
      </c>
      <c r="D26" s="4">
        <v>1</v>
      </c>
      <c r="E26" s="4">
        <v>108</v>
      </c>
      <c r="F26" s="4">
        <v>0</v>
      </c>
      <c r="G26" s="4">
        <v>0</v>
      </c>
      <c r="H26" s="5">
        <v>0</v>
      </c>
      <c r="I26" s="5">
        <f t="shared" si="0"/>
        <v>0</v>
      </c>
      <c r="J26" s="4">
        <v>0</v>
      </c>
      <c r="K26" s="4">
        <v>0</v>
      </c>
      <c r="L26" s="4">
        <v>1</v>
      </c>
      <c r="M26" s="4">
        <v>0</v>
      </c>
      <c r="O26" s="6">
        <f t="shared" si="1"/>
        <v>1.2</v>
      </c>
      <c r="P26" s="6">
        <f t="shared" si="2"/>
        <v>0</v>
      </c>
      <c r="Q26" s="8">
        <f t="shared" ref="Q26:Q30" si="9">G26/90</f>
        <v>0</v>
      </c>
      <c r="R26" s="4">
        <f t="shared" si="7"/>
        <v>0</v>
      </c>
      <c r="S26" s="6">
        <f t="shared" si="3"/>
        <v>0</v>
      </c>
      <c r="T26" s="6"/>
    </row>
    <row r="27" spans="1:20" x14ac:dyDescent="0.3">
      <c r="A27" s="4" t="s">
        <v>57</v>
      </c>
      <c r="B27" s="3" t="s">
        <v>41</v>
      </c>
      <c r="C27" s="4">
        <v>36</v>
      </c>
      <c r="D27" s="4">
        <v>28</v>
      </c>
      <c r="E27" s="4">
        <v>2399</v>
      </c>
      <c r="F27" s="4">
        <v>13</v>
      </c>
      <c r="G27" s="4">
        <v>5</v>
      </c>
      <c r="H27" s="5">
        <f t="shared" si="5"/>
        <v>18</v>
      </c>
      <c r="I27" s="5">
        <f t="shared" si="0"/>
        <v>13</v>
      </c>
      <c r="J27" s="4">
        <v>0</v>
      </c>
      <c r="K27" s="4">
        <v>0</v>
      </c>
      <c r="L27" s="4">
        <v>2</v>
      </c>
      <c r="M27" s="4">
        <v>0</v>
      </c>
      <c r="O27" s="6">
        <f t="shared" si="1"/>
        <v>26.655555555555555</v>
      </c>
      <c r="P27" s="6">
        <f t="shared" si="2"/>
        <v>0.14444444444444443</v>
      </c>
      <c r="Q27" s="8">
        <f t="shared" si="9"/>
        <v>5.5555555555555552E-2</v>
      </c>
      <c r="R27" s="4">
        <f t="shared" si="7"/>
        <v>0.14444444444444443</v>
      </c>
      <c r="S27" s="6">
        <f t="shared" si="3"/>
        <v>0.2</v>
      </c>
      <c r="T27" s="6">
        <f t="shared" si="4"/>
        <v>133.27777777777777</v>
      </c>
    </row>
    <row r="28" spans="1:20" x14ac:dyDescent="0.3">
      <c r="A28" s="4" t="s">
        <v>60</v>
      </c>
      <c r="B28" s="3" t="s">
        <v>41</v>
      </c>
      <c r="C28" s="4">
        <v>35</v>
      </c>
      <c r="D28" s="4">
        <v>23</v>
      </c>
      <c r="E28" s="4">
        <v>1935</v>
      </c>
      <c r="F28" s="4">
        <v>10</v>
      </c>
      <c r="G28" s="4">
        <v>4</v>
      </c>
      <c r="H28" s="5">
        <f t="shared" si="5"/>
        <v>14</v>
      </c>
      <c r="I28" s="5">
        <f t="shared" si="0"/>
        <v>10</v>
      </c>
      <c r="J28" s="4">
        <v>0</v>
      </c>
      <c r="K28" s="4">
        <v>0</v>
      </c>
      <c r="L28" s="4">
        <v>5</v>
      </c>
      <c r="M28" s="4">
        <v>0</v>
      </c>
      <c r="O28" s="6">
        <f t="shared" si="1"/>
        <v>21.5</v>
      </c>
      <c r="P28" s="6">
        <f t="shared" si="2"/>
        <v>0.1111111111111111</v>
      </c>
      <c r="Q28" s="8">
        <f t="shared" si="9"/>
        <v>4.4444444444444446E-2</v>
      </c>
      <c r="R28" s="4">
        <f t="shared" si="7"/>
        <v>0.1111111111111111</v>
      </c>
      <c r="S28" s="6">
        <f t="shared" si="3"/>
        <v>0.15555555555555556</v>
      </c>
      <c r="T28" s="6">
        <f t="shared" si="4"/>
        <v>138.21428571428572</v>
      </c>
    </row>
    <row r="29" spans="1:20" x14ac:dyDescent="0.3">
      <c r="A29" s="4" t="s">
        <v>62</v>
      </c>
      <c r="B29" s="3" t="s">
        <v>41</v>
      </c>
      <c r="C29" s="4">
        <v>26</v>
      </c>
      <c r="D29" s="4">
        <v>14</v>
      </c>
      <c r="E29" s="4">
        <v>1196</v>
      </c>
      <c r="F29" s="4">
        <v>6</v>
      </c>
      <c r="G29" s="4">
        <v>3</v>
      </c>
      <c r="H29" s="5">
        <f t="shared" si="5"/>
        <v>9</v>
      </c>
      <c r="I29" s="7">
        <f t="shared" si="0"/>
        <v>6</v>
      </c>
      <c r="J29" s="4">
        <v>0</v>
      </c>
      <c r="K29" s="4">
        <v>0</v>
      </c>
      <c r="L29" s="4">
        <v>2</v>
      </c>
      <c r="M29" s="4">
        <v>0</v>
      </c>
      <c r="O29" s="6">
        <f t="shared" si="1"/>
        <v>13.28888888888889</v>
      </c>
      <c r="P29" s="6">
        <f t="shared" si="2"/>
        <v>6.6666666666666666E-2</v>
      </c>
      <c r="Q29" s="8">
        <f t="shared" si="9"/>
        <v>3.3333333333333333E-2</v>
      </c>
      <c r="R29" s="4">
        <f t="shared" si="7"/>
        <v>6.6666666666666666E-2</v>
      </c>
      <c r="S29" s="6">
        <f t="shared" si="3"/>
        <v>0.1</v>
      </c>
      <c r="T29" s="6">
        <f t="shared" si="4"/>
        <v>132.88888888888889</v>
      </c>
    </row>
    <row r="30" spans="1:20" x14ac:dyDescent="0.3">
      <c r="A30" s="4" t="s">
        <v>65</v>
      </c>
      <c r="B30" s="3" t="s">
        <v>41</v>
      </c>
      <c r="C30" s="4">
        <v>30</v>
      </c>
      <c r="D30" s="4">
        <v>8</v>
      </c>
      <c r="E30" s="4">
        <v>1133</v>
      </c>
      <c r="F30" s="4">
        <v>5</v>
      </c>
      <c r="G30" s="4">
        <v>2</v>
      </c>
      <c r="H30" s="5">
        <f t="shared" si="5"/>
        <v>7</v>
      </c>
      <c r="I30" s="7">
        <f t="shared" si="0"/>
        <v>5</v>
      </c>
      <c r="J30" s="4">
        <v>0</v>
      </c>
      <c r="K30" s="4">
        <v>0</v>
      </c>
      <c r="L30" s="4">
        <v>8</v>
      </c>
      <c r="M30" s="4">
        <v>0</v>
      </c>
      <c r="O30" s="6">
        <f t="shared" si="1"/>
        <v>12.588888888888889</v>
      </c>
      <c r="P30" s="6">
        <f t="shared" si="2"/>
        <v>5.5555555555555552E-2</v>
      </c>
      <c r="Q30" s="8">
        <f t="shared" si="9"/>
        <v>2.2222222222222223E-2</v>
      </c>
      <c r="R30" s="4">
        <f t="shared" si="7"/>
        <v>5.5555555555555552E-2</v>
      </c>
      <c r="S30" s="6">
        <f t="shared" si="3"/>
        <v>7.7777777777777779E-2</v>
      </c>
      <c r="T30" s="6">
        <f t="shared" si="4"/>
        <v>161.85714285714286</v>
      </c>
    </row>
    <row r="31" spans="1:20" x14ac:dyDescent="0.3">
      <c r="A31" s="4">
        <f>COUNTA(A25:A30,A17:A22,A7:A14,A3:A4)</f>
        <v>22</v>
      </c>
      <c r="E31" s="4">
        <f>AVERAGE(E3:E4,E25:E30,E17:E22,E7:E14)</f>
        <v>1704.4545454545455</v>
      </c>
      <c r="F31" s="4">
        <f>SUM(F7:F14,F17:F22,F25:F30)</f>
        <v>85</v>
      </c>
      <c r="G31" s="4">
        <f t="shared" ref="G31:M31" si="10">SUM(G7:G14,G17:G22,G25:G30)</f>
        <v>65</v>
      </c>
      <c r="H31" s="4">
        <f t="shared" si="10"/>
        <v>150</v>
      </c>
      <c r="I31" s="4">
        <f t="shared" si="10"/>
        <v>76</v>
      </c>
      <c r="J31" s="4">
        <f t="shared" si="10"/>
        <v>9</v>
      </c>
      <c r="K31" s="4">
        <f t="shared" si="10"/>
        <v>9</v>
      </c>
      <c r="L31" s="4">
        <f t="shared" si="10"/>
        <v>68</v>
      </c>
      <c r="M31" s="4">
        <f t="shared" si="10"/>
        <v>3</v>
      </c>
      <c r="P31" s="6">
        <f>SUM(P25:P30)</f>
        <v>0.7</v>
      </c>
      <c r="Q31" s="6">
        <f>SUM(Q25:Q30)</f>
        <v>0.35555555555555551</v>
      </c>
      <c r="S31" s="6">
        <f>AVERAGE(S3:S4,S7:S14,S17:S22,S25:S30)</f>
        <v>7.575757575757576E-2</v>
      </c>
    </row>
    <row r="32" spans="1:20" x14ac:dyDescent="0.3">
      <c r="F32" s="4">
        <f>SUM(F25:F30)</f>
        <v>63</v>
      </c>
      <c r="G32" s="4">
        <f>SUM(G25:G30)</f>
        <v>32</v>
      </c>
    </row>
    <row r="33" spans="1:9" x14ac:dyDescent="0.3">
      <c r="A33" s="1" t="s">
        <v>89</v>
      </c>
    </row>
    <row r="34" spans="1:9" ht="15.6" customHeight="1" x14ac:dyDescent="0.3">
      <c r="A34" s="35" t="s">
        <v>84</v>
      </c>
      <c r="B34" s="35"/>
      <c r="C34" s="35"/>
      <c r="D34" s="35"/>
      <c r="E34" s="35"/>
      <c r="F34" s="35"/>
      <c r="G34" s="35"/>
      <c r="H34" s="35"/>
      <c r="I34" s="35"/>
    </row>
    <row r="35" spans="1:9" x14ac:dyDescent="0.3">
      <c r="A35" s="35"/>
      <c r="B35" s="35"/>
      <c r="C35" s="35"/>
      <c r="D35" s="35"/>
      <c r="E35" s="35"/>
      <c r="F35" s="35"/>
      <c r="G35" s="35"/>
      <c r="H35" s="35"/>
      <c r="I35" s="35"/>
    </row>
    <row r="36" spans="1:9" x14ac:dyDescent="0.3">
      <c r="A36" s="35"/>
      <c r="B36" s="35"/>
      <c r="C36" s="35"/>
      <c r="D36" s="35"/>
      <c r="E36" s="35"/>
      <c r="F36" s="35"/>
      <c r="G36" s="35"/>
      <c r="H36" s="35"/>
      <c r="I36" s="35"/>
    </row>
    <row r="37" spans="1:9" x14ac:dyDescent="0.3">
      <c r="A37" s="35" t="s">
        <v>85</v>
      </c>
      <c r="B37" s="35"/>
      <c r="C37" s="35"/>
      <c r="D37" s="35"/>
      <c r="E37" s="35"/>
      <c r="F37" s="35"/>
      <c r="G37" s="35"/>
      <c r="H37" s="35"/>
      <c r="I37" s="35"/>
    </row>
    <row r="38" spans="1:9" x14ac:dyDescent="0.3">
      <c r="A38" s="35"/>
      <c r="B38" s="35"/>
      <c r="C38" s="35"/>
      <c r="D38" s="35"/>
      <c r="E38" s="35"/>
      <c r="F38" s="35"/>
      <c r="G38" s="35"/>
      <c r="H38" s="35"/>
      <c r="I38" s="35"/>
    </row>
    <row r="39" spans="1:9" x14ac:dyDescent="0.3">
      <c r="A39" s="35"/>
      <c r="B39" s="35"/>
      <c r="C39" s="35"/>
      <c r="D39" s="35"/>
      <c r="E39" s="35"/>
      <c r="F39" s="35"/>
      <c r="G39" s="35"/>
      <c r="H39" s="35"/>
      <c r="I39" s="35"/>
    </row>
    <row r="40" spans="1:9" x14ac:dyDescent="0.3">
      <c r="A40" s="35" t="s">
        <v>86</v>
      </c>
      <c r="B40" s="35"/>
      <c r="C40" s="35"/>
      <c r="D40" s="35"/>
      <c r="E40" s="35"/>
      <c r="F40" s="35"/>
      <c r="G40" s="35"/>
      <c r="H40" s="35"/>
      <c r="I40" s="35"/>
    </row>
    <row r="41" spans="1:9" x14ac:dyDescent="0.3">
      <c r="A41" s="35"/>
      <c r="B41" s="35"/>
      <c r="C41" s="35"/>
      <c r="D41" s="35"/>
      <c r="E41" s="35"/>
      <c r="F41" s="35"/>
      <c r="G41" s="35"/>
      <c r="H41" s="35"/>
      <c r="I41" s="35"/>
    </row>
    <row r="42" spans="1:9" x14ac:dyDescent="0.3">
      <c r="A42" s="35"/>
      <c r="B42" s="35"/>
      <c r="C42" s="35"/>
      <c r="D42" s="35"/>
      <c r="E42" s="35"/>
      <c r="F42" s="35"/>
      <c r="G42" s="35"/>
      <c r="H42" s="35"/>
      <c r="I42" s="35"/>
    </row>
    <row r="43" spans="1:9" x14ac:dyDescent="0.3">
      <c r="A43" s="35" t="s">
        <v>87</v>
      </c>
      <c r="B43" s="35"/>
      <c r="C43" s="35"/>
      <c r="D43" s="35"/>
      <c r="E43" s="35"/>
      <c r="F43" s="35"/>
      <c r="G43" s="35"/>
      <c r="H43" s="35"/>
      <c r="I43" s="35"/>
    </row>
    <row r="44" spans="1:9" x14ac:dyDescent="0.3">
      <c r="A44" s="35"/>
      <c r="B44" s="35"/>
      <c r="C44" s="35"/>
      <c r="D44" s="35"/>
      <c r="E44" s="35"/>
      <c r="F44" s="35"/>
      <c r="G44" s="35"/>
      <c r="H44" s="35"/>
      <c r="I44" s="35"/>
    </row>
  </sheetData>
  <mergeCells count="6">
    <mergeCell ref="A43:I44"/>
    <mergeCell ref="O1:S1"/>
    <mergeCell ref="T1:T2"/>
    <mergeCell ref="A34:I36"/>
    <mergeCell ref="A37:I39"/>
    <mergeCell ref="A40:I42"/>
  </mergeCells>
  <conditionalFormatting sqref="C3:C30">
    <cfRule type="cellIs" dxfId="2" priority="10" operator="greaterThan">
      <formula>30</formula>
    </cfRule>
  </conditionalFormatting>
  <conditionalFormatting sqref="E3:E6">
    <cfRule type="top10" dxfId="1" priority="59" percent="1" rank="10"/>
  </conditionalFormatting>
  <conditionalFormatting sqref="E7:E30">
    <cfRule type="cellIs" dxfId="0" priority="1" operator="greaterThan">
      <formula>1500</formula>
    </cfRule>
  </conditionalFormatting>
  <conditionalFormatting sqref="F3:F14 F16:F22 F24:F30">
    <cfRule type="colorScale" priority="61">
      <colorScale>
        <cfvo type="min"/>
        <cfvo type="percentile" val="50"/>
        <cfvo type="max"/>
        <color rgb="FFF8696B"/>
        <color rgb="FFFCFCFF"/>
        <color rgb="FF63BE7B"/>
      </colorScale>
    </cfRule>
  </conditionalFormatting>
  <conditionalFormatting sqref="G3:G14 G16:G22 G24:G30">
    <cfRule type="colorScale" priority="63">
      <colorScale>
        <cfvo type="min"/>
        <cfvo type="percentile" val="50"/>
        <cfvo type="max"/>
        <color rgb="FFF8696B"/>
        <color rgb="FFFCFCFF"/>
        <color rgb="FF63BE7B"/>
      </colorScale>
    </cfRule>
  </conditionalFormatting>
  <conditionalFormatting sqref="O3:O30">
    <cfRule type="colorScale" priority="6">
      <colorScale>
        <cfvo type="min"/>
        <cfvo type="percentile" val="50"/>
        <cfvo type="max"/>
        <color rgb="FFF8696B"/>
        <color rgb="FFFCFCFF"/>
        <color rgb="FF63BE7B"/>
      </colorScale>
    </cfRule>
  </conditionalFormatting>
  <conditionalFormatting sqref="P3:P30 Q15 Q23">
    <cfRule type="colorScale" priority="5">
      <colorScale>
        <cfvo type="min"/>
        <cfvo type="percentile" val="50"/>
        <cfvo type="max"/>
        <color rgb="FFF8696B"/>
        <color rgb="FFFCFCFF"/>
        <color rgb="FF63BE7B"/>
      </colorScale>
    </cfRule>
  </conditionalFormatting>
  <conditionalFormatting sqref="Q3:Q14 Q16:Q22 Q24:Q30">
    <cfRule type="colorScale" priority="4">
      <colorScale>
        <cfvo type="min"/>
        <cfvo type="percentile" val="50"/>
        <cfvo type="max"/>
        <color rgb="FFF8696B"/>
        <color rgb="FFFCFCFF"/>
        <color rgb="FF63BE7B"/>
      </colorScale>
    </cfRule>
  </conditionalFormatting>
  <conditionalFormatting sqref="R3:R30">
    <cfRule type="colorScale" priority="3">
      <colorScale>
        <cfvo type="min"/>
        <cfvo type="percentile" val="50"/>
        <cfvo type="max"/>
        <color rgb="FFF8696B"/>
        <color rgb="FFFCFCFF"/>
        <color rgb="FF63BE7B"/>
      </colorScale>
    </cfRule>
  </conditionalFormatting>
  <conditionalFormatting sqref="S3:S30">
    <cfRule type="colorScale" priority="2">
      <colorScale>
        <cfvo type="min"/>
        <cfvo type="percentile" val="50"/>
        <cfvo type="max"/>
        <color rgb="FFF8696B"/>
        <color rgb="FFFCFCFF"/>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5071-6431-4051-B871-3AC8213B29D5}">
  <dimension ref="B1:R30"/>
  <sheetViews>
    <sheetView zoomScale="79" workbookViewId="0">
      <selection activeCell="E22" sqref="E22"/>
    </sheetView>
  </sheetViews>
  <sheetFormatPr defaultRowHeight="15.6" x14ac:dyDescent="0.3"/>
  <cols>
    <col min="1" max="1" width="8.88671875" style="4"/>
    <col min="2" max="2" width="23.44140625" style="4" bestFit="1" customWidth="1"/>
    <col min="3" max="4" width="10.44140625" style="4" customWidth="1"/>
    <col min="5" max="5" width="10.33203125" style="4" customWidth="1"/>
    <col min="6" max="16384" width="8.88671875" style="4"/>
  </cols>
  <sheetData>
    <row r="1" spans="2:5" x14ac:dyDescent="0.3">
      <c r="B1" s="2" t="s">
        <v>91</v>
      </c>
      <c r="C1" s="2" t="s">
        <v>92</v>
      </c>
      <c r="D1" s="2" t="s">
        <v>93</v>
      </c>
      <c r="E1" s="2" t="s">
        <v>101</v>
      </c>
    </row>
    <row r="2" spans="2:5" x14ac:dyDescent="0.3">
      <c r="B2" s="4" t="s">
        <v>94</v>
      </c>
      <c r="C2" s="4">
        <v>86</v>
      </c>
      <c r="D2" s="4">
        <v>83</v>
      </c>
      <c r="E2" s="4">
        <f>D2-C2</f>
        <v>-3</v>
      </c>
    </row>
    <row r="3" spans="2:5" x14ac:dyDescent="0.3">
      <c r="B3" s="4" t="s">
        <v>95</v>
      </c>
      <c r="C3" s="4">
        <v>55</v>
      </c>
      <c r="D3" s="4">
        <v>69</v>
      </c>
      <c r="E3" s="4">
        <f t="shared" ref="E3:E24" si="0">D3-C3</f>
        <v>14</v>
      </c>
    </row>
    <row r="4" spans="2:5" x14ac:dyDescent="0.3">
      <c r="B4" s="4" t="s">
        <v>96</v>
      </c>
      <c r="C4" s="4">
        <v>0.13619999999999999</v>
      </c>
      <c r="D4" s="4">
        <v>7.6999999999999999E-2</v>
      </c>
      <c r="E4" s="4">
        <f t="shared" si="0"/>
        <v>-5.9199999999999989E-2</v>
      </c>
    </row>
    <row r="5" spans="2:5" x14ac:dyDescent="0.3">
      <c r="B5" s="4" t="s">
        <v>97</v>
      </c>
      <c r="C5" s="4">
        <v>41</v>
      </c>
      <c r="D5" s="4">
        <v>38</v>
      </c>
      <c r="E5" s="4">
        <f t="shared" si="0"/>
        <v>-3</v>
      </c>
    </row>
    <row r="6" spans="2:5" x14ac:dyDescent="0.3">
      <c r="B6" s="4" t="s">
        <v>98</v>
      </c>
      <c r="C6" s="4">
        <v>4</v>
      </c>
      <c r="D6" s="4">
        <v>1</v>
      </c>
      <c r="E6" s="4">
        <f t="shared" si="0"/>
        <v>-3</v>
      </c>
    </row>
    <row r="7" spans="2:5" x14ac:dyDescent="0.3">
      <c r="B7" s="4" t="s">
        <v>99</v>
      </c>
      <c r="C7" s="4">
        <v>1867.2</v>
      </c>
      <c r="D7" s="4">
        <v>1697.4</v>
      </c>
      <c r="E7" s="4">
        <f t="shared" si="0"/>
        <v>-169.79999999999995</v>
      </c>
    </row>
    <row r="8" spans="2:5" x14ac:dyDescent="0.3">
      <c r="B8" s="4" t="s">
        <v>100</v>
      </c>
      <c r="C8" s="4">
        <v>20</v>
      </c>
      <c r="D8" s="4">
        <v>22</v>
      </c>
      <c r="E8" s="4">
        <f t="shared" si="0"/>
        <v>2</v>
      </c>
    </row>
    <row r="10" spans="2:5" x14ac:dyDescent="0.3">
      <c r="B10" s="4" t="s">
        <v>102</v>
      </c>
      <c r="C10" s="4">
        <v>7</v>
      </c>
      <c r="D10" s="4">
        <v>12</v>
      </c>
      <c r="E10" s="4">
        <f>D10-C10</f>
        <v>5</v>
      </c>
    </row>
    <row r="11" spans="2:5" x14ac:dyDescent="0.3">
      <c r="B11" s="4" t="s">
        <v>103</v>
      </c>
      <c r="C11" s="4">
        <v>18</v>
      </c>
      <c r="D11" s="4">
        <v>21</v>
      </c>
      <c r="E11" s="4">
        <f t="shared" si="0"/>
        <v>3</v>
      </c>
    </row>
    <row r="12" spans="2:5" x14ac:dyDescent="0.3">
      <c r="B12" s="4" t="s">
        <v>104</v>
      </c>
      <c r="C12" s="4">
        <v>61</v>
      </c>
      <c r="D12" s="4">
        <v>50</v>
      </c>
      <c r="E12" s="4">
        <f t="shared" si="0"/>
        <v>-11</v>
      </c>
    </row>
    <row r="14" spans="2:5" x14ac:dyDescent="0.3">
      <c r="B14" s="4" t="s">
        <v>105</v>
      </c>
      <c r="C14" s="4">
        <v>25</v>
      </c>
      <c r="D14" s="4">
        <v>27</v>
      </c>
      <c r="E14" s="4">
        <f t="shared" si="0"/>
        <v>2</v>
      </c>
    </row>
    <row r="15" spans="2:5" x14ac:dyDescent="0.3">
      <c r="B15" s="4" t="s">
        <v>106</v>
      </c>
      <c r="C15" s="4">
        <v>13</v>
      </c>
      <c r="D15" s="4">
        <v>15</v>
      </c>
      <c r="E15" s="4">
        <f t="shared" si="0"/>
        <v>2</v>
      </c>
    </row>
    <row r="16" spans="2:5" x14ac:dyDescent="0.3">
      <c r="B16" s="4" t="s">
        <v>107</v>
      </c>
      <c r="C16" s="4">
        <v>17</v>
      </c>
      <c r="D16" s="4">
        <v>26</v>
      </c>
      <c r="E16" s="4">
        <f t="shared" si="0"/>
        <v>9</v>
      </c>
    </row>
    <row r="18" spans="2:18" x14ac:dyDescent="0.3">
      <c r="B18" s="4" t="s">
        <v>108</v>
      </c>
      <c r="C18" s="6">
        <f>(C14/C2)*100</f>
        <v>29.069767441860467</v>
      </c>
      <c r="D18" s="6">
        <f>(D14/D2)*100</f>
        <v>32.53012048192771</v>
      </c>
      <c r="E18" s="6">
        <f t="shared" si="0"/>
        <v>3.4603530400672433</v>
      </c>
    </row>
    <row r="19" spans="2:18" x14ac:dyDescent="0.3">
      <c r="B19" s="4" t="s">
        <v>109</v>
      </c>
      <c r="C19" s="6">
        <f>(C15/C3)*100</f>
        <v>23.636363636363637</v>
      </c>
      <c r="D19" s="6">
        <f>(D15/D3)*100</f>
        <v>21.739130434782609</v>
      </c>
      <c r="E19" s="6">
        <f t="shared" si="0"/>
        <v>-1.8972332015810274</v>
      </c>
    </row>
    <row r="20" spans="2:18" x14ac:dyDescent="0.3">
      <c r="B20" s="4" t="s">
        <v>110</v>
      </c>
      <c r="C20" s="6">
        <f>(C12/C2)*100</f>
        <v>70.930232558139537</v>
      </c>
      <c r="D20" s="6">
        <f>(D12/D2)*100</f>
        <v>60.24096385542169</v>
      </c>
      <c r="E20" s="6">
        <f t="shared" si="0"/>
        <v>-10.689268702717847</v>
      </c>
    </row>
    <row r="21" spans="2:18" x14ac:dyDescent="0.3">
      <c r="C21" s="6"/>
      <c r="D21" s="6"/>
      <c r="E21" s="6"/>
    </row>
    <row r="22" spans="2:18" ht="15.6" customHeight="1" x14ac:dyDescent="0.3">
      <c r="B22" s="4" t="s">
        <v>111</v>
      </c>
      <c r="C22" s="6">
        <f>(C14/C3)*100</f>
        <v>45.454545454545453</v>
      </c>
      <c r="D22" s="6">
        <f>(D14/D3)*100</f>
        <v>39.130434782608695</v>
      </c>
      <c r="E22" s="6">
        <f t="shared" si="0"/>
        <v>-6.3241106719367579</v>
      </c>
      <c r="G22" s="35" t="s">
        <v>116</v>
      </c>
      <c r="H22" s="35"/>
      <c r="I22" s="35"/>
      <c r="J22" s="35"/>
      <c r="K22" s="35"/>
      <c r="L22" s="35"/>
      <c r="M22" s="35"/>
      <c r="N22" s="35"/>
      <c r="O22" s="35"/>
      <c r="P22" s="35"/>
      <c r="Q22" s="35"/>
      <c r="R22" s="35"/>
    </row>
    <row r="23" spans="2:18" x14ac:dyDescent="0.3">
      <c r="B23" s="4" t="s">
        <v>112</v>
      </c>
      <c r="C23" s="6">
        <f>(C15/C3)*100</f>
        <v>23.636363636363637</v>
      </c>
      <c r="D23" s="6">
        <f>(D15/D3)*100</f>
        <v>21.739130434782609</v>
      </c>
      <c r="E23" s="6">
        <f t="shared" si="0"/>
        <v>-1.8972332015810274</v>
      </c>
      <c r="G23" s="35"/>
      <c r="H23" s="35"/>
      <c r="I23" s="35"/>
      <c r="J23" s="35"/>
      <c r="K23" s="35"/>
      <c r="L23" s="35"/>
      <c r="M23" s="35"/>
      <c r="N23" s="35"/>
      <c r="O23" s="35"/>
      <c r="P23" s="35"/>
      <c r="Q23" s="35"/>
      <c r="R23" s="35"/>
    </row>
    <row r="24" spans="2:18" x14ac:dyDescent="0.3">
      <c r="B24" s="4" t="s">
        <v>113</v>
      </c>
      <c r="C24" s="6">
        <f>(C16/C3)*100</f>
        <v>30.909090909090907</v>
      </c>
      <c r="D24" s="6">
        <f>(D16/D3)*100</f>
        <v>37.681159420289859</v>
      </c>
      <c r="E24" s="6">
        <f t="shared" si="0"/>
        <v>6.7720685111989525</v>
      </c>
      <c r="G24" s="35"/>
      <c r="H24" s="35"/>
      <c r="I24" s="35"/>
      <c r="J24" s="35"/>
      <c r="K24" s="35"/>
      <c r="L24" s="35"/>
      <c r="M24" s="35"/>
      <c r="N24" s="35"/>
      <c r="O24" s="35"/>
      <c r="P24" s="35"/>
      <c r="Q24" s="35"/>
      <c r="R24" s="35"/>
    </row>
    <row r="25" spans="2:18" x14ac:dyDescent="0.3">
      <c r="G25" s="35"/>
      <c r="H25" s="35"/>
      <c r="I25" s="35"/>
      <c r="J25" s="35"/>
      <c r="K25" s="35"/>
      <c r="L25" s="35"/>
      <c r="M25" s="35"/>
      <c r="N25" s="35"/>
      <c r="O25" s="35"/>
      <c r="P25" s="35"/>
      <c r="Q25" s="35"/>
      <c r="R25" s="35"/>
    </row>
    <row r="26" spans="2:18" x14ac:dyDescent="0.3">
      <c r="G26" s="35"/>
      <c r="H26" s="35"/>
      <c r="I26" s="35"/>
      <c r="J26" s="35"/>
      <c r="K26" s="35"/>
      <c r="L26" s="35"/>
      <c r="M26" s="35"/>
      <c r="N26" s="35"/>
      <c r="O26" s="35"/>
      <c r="P26" s="35"/>
      <c r="Q26" s="35"/>
      <c r="R26" s="35"/>
    </row>
    <row r="27" spans="2:18" x14ac:dyDescent="0.3">
      <c r="G27" s="35"/>
      <c r="H27" s="35"/>
      <c r="I27" s="35"/>
      <c r="J27" s="35"/>
      <c r="K27" s="35"/>
      <c r="L27" s="35"/>
      <c r="M27" s="35"/>
      <c r="N27" s="35"/>
      <c r="O27" s="35"/>
      <c r="P27" s="35"/>
      <c r="Q27" s="35"/>
      <c r="R27" s="35"/>
    </row>
    <row r="28" spans="2:18" x14ac:dyDescent="0.3">
      <c r="G28" s="35"/>
      <c r="H28" s="35"/>
      <c r="I28" s="35"/>
      <c r="J28" s="35"/>
      <c r="K28" s="35"/>
      <c r="L28" s="35"/>
      <c r="M28" s="35"/>
      <c r="N28" s="35"/>
      <c r="O28" s="35"/>
      <c r="P28" s="35"/>
      <c r="Q28" s="35"/>
      <c r="R28" s="35"/>
    </row>
    <row r="29" spans="2:18" x14ac:dyDescent="0.3">
      <c r="G29" s="35"/>
      <c r="H29" s="35"/>
      <c r="I29" s="35"/>
      <c r="J29" s="35"/>
      <c r="K29" s="35"/>
      <c r="L29" s="35"/>
      <c r="M29" s="35"/>
      <c r="N29" s="35"/>
      <c r="O29" s="35"/>
      <c r="P29" s="35"/>
      <c r="Q29" s="35"/>
      <c r="R29" s="35"/>
    </row>
    <row r="30" spans="2:18" x14ac:dyDescent="0.3">
      <c r="G30" s="35"/>
      <c r="H30" s="35"/>
      <c r="I30" s="35"/>
      <c r="J30" s="35"/>
      <c r="K30" s="35"/>
      <c r="L30" s="35"/>
      <c r="M30" s="35"/>
      <c r="N30" s="35"/>
      <c r="O30" s="35"/>
      <c r="P30" s="35"/>
      <c r="Q30" s="35"/>
      <c r="R30" s="35"/>
    </row>
  </sheetData>
  <mergeCells count="1">
    <mergeCell ref="G22:R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E04F-D031-46C3-9617-2EEB3150EABC}">
  <dimension ref="B1:V31"/>
  <sheetViews>
    <sheetView zoomScale="78" workbookViewId="0">
      <selection activeCell="X20" sqref="X20"/>
    </sheetView>
  </sheetViews>
  <sheetFormatPr defaultRowHeight="15.6" x14ac:dyDescent="0.3"/>
  <cols>
    <col min="1" max="1" width="8.88671875" style="4"/>
    <col min="2" max="2" width="23.44140625" style="4" bestFit="1" customWidth="1"/>
    <col min="3" max="3" width="11" style="4" customWidth="1"/>
    <col min="4" max="4" width="10.77734375" style="4" customWidth="1"/>
    <col min="5" max="5" width="12.6640625" style="4" customWidth="1"/>
    <col min="6" max="16384" width="8.88671875" style="4"/>
  </cols>
  <sheetData>
    <row r="1" spans="2:5" x14ac:dyDescent="0.3">
      <c r="B1" s="2" t="s">
        <v>91</v>
      </c>
      <c r="C1" s="2" t="s">
        <v>114</v>
      </c>
      <c r="D1" s="2" t="s">
        <v>115</v>
      </c>
      <c r="E1" s="2" t="s">
        <v>101</v>
      </c>
    </row>
    <row r="2" spans="2:5" x14ac:dyDescent="0.3">
      <c r="B2" s="4" t="s">
        <v>94</v>
      </c>
      <c r="C2" s="4">
        <v>80</v>
      </c>
      <c r="D2" s="4">
        <v>85</v>
      </c>
      <c r="E2" s="4">
        <f>D2-C2</f>
        <v>5</v>
      </c>
    </row>
    <row r="3" spans="2:5" x14ac:dyDescent="0.3">
      <c r="B3" s="4" t="s">
        <v>95</v>
      </c>
      <c r="C3" s="4">
        <v>60</v>
      </c>
      <c r="D3" s="4">
        <v>65</v>
      </c>
      <c r="E3" s="4">
        <f t="shared" ref="E3:E24" si="0">D3-C3</f>
        <v>5</v>
      </c>
    </row>
    <row r="4" spans="2:5" x14ac:dyDescent="0.3">
      <c r="B4" s="4" t="s">
        <v>96</v>
      </c>
      <c r="C4" s="4">
        <v>7.0709999999999995E-2</v>
      </c>
      <c r="D4" s="4">
        <v>7.5999999999999998E-2</v>
      </c>
      <c r="E4" s="4">
        <f t="shared" si="0"/>
        <v>5.290000000000003E-3</v>
      </c>
    </row>
    <row r="5" spans="2:5" x14ac:dyDescent="0.3">
      <c r="B5" s="4" t="s">
        <v>97</v>
      </c>
      <c r="C5" s="4">
        <v>68</v>
      </c>
      <c r="D5" s="4">
        <v>68</v>
      </c>
      <c r="E5" s="4">
        <f t="shared" si="0"/>
        <v>0</v>
      </c>
    </row>
    <row r="6" spans="2:5" x14ac:dyDescent="0.3">
      <c r="B6" s="4" t="s">
        <v>98</v>
      </c>
      <c r="C6" s="4">
        <v>5</v>
      </c>
      <c r="D6" s="4">
        <v>3</v>
      </c>
      <c r="E6" s="4">
        <f t="shared" si="0"/>
        <v>-2</v>
      </c>
    </row>
    <row r="7" spans="2:5" x14ac:dyDescent="0.3">
      <c r="B7" s="4" t="s">
        <v>99</v>
      </c>
      <c r="C7" s="4">
        <v>1694.41</v>
      </c>
      <c r="D7" s="4">
        <v>1704.45</v>
      </c>
      <c r="E7" s="4">
        <f t="shared" si="0"/>
        <v>10.039999999999964</v>
      </c>
    </row>
    <row r="8" spans="2:5" x14ac:dyDescent="0.3">
      <c r="B8" s="4" t="s">
        <v>100</v>
      </c>
      <c r="C8" s="4">
        <v>22</v>
      </c>
      <c r="D8" s="4">
        <v>22</v>
      </c>
      <c r="E8" s="4">
        <f t="shared" si="0"/>
        <v>0</v>
      </c>
    </row>
    <row r="10" spans="2:5" x14ac:dyDescent="0.3">
      <c r="B10" s="4" t="s">
        <v>102</v>
      </c>
      <c r="C10" s="4">
        <v>11</v>
      </c>
      <c r="D10" s="4">
        <v>7</v>
      </c>
      <c r="E10" s="4">
        <f>D10-C10</f>
        <v>-4</v>
      </c>
    </row>
    <row r="11" spans="2:5" x14ac:dyDescent="0.3">
      <c r="B11" s="4" t="s">
        <v>103</v>
      </c>
      <c r="C11" s="4">
        <v>14</v>
      </c>
      <c r="D11" s="4">
        <v>15</v>
      </c>
      <c r="E11" s="4">
        <f t="shared" si="0"/>
        <v>1</v>
      </c>
    </row>
    <row r="12" spans="2:5" x14ac:dyDescent="0.3">
      <c r="B12" s="4" t="s">
        <v>104</v>
      </c>
      <c r="C12" s="4">
        <v>55</v>
      </c>
      <c r="D12" s="4">
        <v>63</v>
      </c>
      <c r="E12" s="4">
        <f t="shared" si="0"/>
        <v>8</v>
      </c>
    </row>
    <row r="14" spans="2:5" x14ac:dyDescent="0.3">
      <c r="B14" s="4" t="s">
        <v>105</v>
      </c>
      <c r="C14" s="4">
        <v>15</v>
      </c>
      <c r="D14" s="4">
        <v>13</v>
      </c>
      <c r="E14" s="4">
        <f t="shared" si="0"/>
        <v>-2</v>
      </c>
    </row>
    <row r="15" spans="2:5" x14ac:dyDescent="0.3">
      <c r="B15" s="4" t="s">
        <v>106</v>
      </c>
      <c r="C15" s="4">
        <v>14</v>
      </c>
      <c r="D15" s="4">
        <v>20</v>
      </c>
      <c r="E15" s="4">
        <f t="shared" si="0"/>
        <v>6</v>
      </c>
    </row>
    <row r="16" spans="2:5" x14ac:dyDescent="0.3">
      <c r="B16" s="4" t="s">
        <v>107</v>
      </c>
      <c r="C16" s="4">
        <v>31</v>
      </c>
      <c r="D16" s="4">
        <v>32</v>
      </c>
      <c r="E16" s="4">
        <f t="shared" si="0"/>
        <v>1</v>
      </c>
    </row>
    <row r="18" spans="2:22" x14ac:dyDescent="0.3">
      <c r="B18" s="4" t="s">
        <v>108</v>
      </c>
      <c r="C18" s="6">
        <f>(C10/C2)*100</f>
        <v>13.750000000000002</v>
      </c>
      <c r="D18" s="6">
        <f>(D10/D2)*100</f>
        <v>8.235294117647058</v>
      </c>
      <c r="E18" s="6">
        <f t="shared" si="0"/>
        <v>-5.5147058823529438</v>
      </c>
    </row>
    <row r="19" spans="2:22" x14ac:dyDescent="0.3">
      <c r="B19" s="4" t="s">
        <v>109</v>
      </c>
      <c r="C19" s="6">
        <f>(C11/C2)*100</f>
        <v>17.5</v>
      </c>
      <c r="D19" s="6">
        <f>(D11/D2)*100</f>
        <v>17.647058823529413</v>
      </c>
      <c r="E19" s="6">
        <f t="shared" si="0"/>
        <v>0.14705882352941302</v>
      </c>
    </row>
    <row r="20" spans="2:22" x14ac:dyDescent="0.3">
      <c r="B20" s="4" t="s">
        <v>110</v>
      </c>
      <c r="C20" s="6">
        <f>(C12/C2)*100</f>
        <v>68.75</v>
      </c>
      <c r="D20" s="6">
        <f>(D12/D2)*100</f>
        <v>74.117647058823536</v>
      </c>
      <c r="E20" s="6">
        <f t="shared" si="0"/>
        <v>5.3676470588235361</v>
      </c>
    </row>
    <row r="21" spans="2:22" x14ac:dyDescent="0.3">
      <c r="C21" s="6"/>
      <c r="D21" s="6"/>
      <c r="E21" s="6"/>
    </row>
    <row r="22" spans="2:22" x14ac:dyDescent="0.3">
      <c r="B22" s="4" t="s">
        <v>111</v>
      </c>
      <c r="C22" s="6">
        <f>(C14/C3)*100</f>
        <v>25</v>
      </c>
      <c r="D22" s="6">
        <f>(D14/D3)*100</f>
        <v>20</v>
      </c>
      <c r="E22" s="6">
        <f t="shared" si="0"/>
        <v>-5</v>
      </c>
    </row>
    <row r="23" spans="2:22" ht="15.6" customHeight="1" x14ac:dyDescent="0.3">
      <c r="B23" s="4" t="s">
        <v>112</v>
      </c>
      <c r="C23" s="6">
        <f>(C15/C3)*100</f>
        <v>23.333333333333332</v>
      </c>
      <c r="D23" s="6">
        <f>(D15/D3)*100</f>
        <v>30.76923076923077</v>
      </c>
      <c r="E23" s="6">
        <f t="shared" si="0"/>
        <v>7.4358974358974379</v>
      </c>
      <c r="G23" s="35" t="s">
        <v>117</v>
      </c>
      <c r="H23" s="35"/>
      <c r="I23" s="35"/>
      <c r="J23" s="35"/>
      <c r="K23" s="35"/>
      <c r="L23" s="35"/>
      <c r="M23" s="35"/>
      <c r="N23" s="35"/>
      <c r="O23" s="35"/>
      <c r="P23" s="35"/>
      <c r="Q23" s="35"/>
      <c r="R23" s="35"/>
      <c r="S23" s="35"/>
      <c r="T23" s="35"/>
      <c r="U23" s="35"/>
      <c r="V23" s="35"/>
    </row>
    <row r="24" spans="2:22" x14ac:dyDescent="0.3">
      <c r="B24" s="4" t="s">
        <v>113</v>
      </c>
      <c r="C24" s="6">
        <f>(C16/C3)*100</f>
        <v>51.666666666666671</v>
      </c>
      <c r="D24" s="6">
        <f>(D16/D3)*100</f>
        <v>49.230769230769234</v>
      </c>
      <c r="E24" s="6">
        <f t="shared" si="0"/>
        <v>-2.4358974358974379</v>
      </c>
      <c r="G24" s="35"/>
      <c r="H24" s="35"/>
      <c r="I24" s="35"/>
      <c r="J24" s="35"/>
      <c r="K24" s="35"/>
      <c r="L24" s="35"/>
      <c r="M24" s="35"/>
      <c r="N24" s="35"/>
      <c r="O24" s="35"/>
      <c r="P24" s="35"/>
      <c r="Q24" s="35"/>
      <c r="R24" s="35"/>
      <c r="S24" s="35"/>
      <c r="T24" s="35"/>
      <c r="U24" s="35"/>
      <c r="V24" s="35"/>
    </row>
    <row r="25" spans="2:22" x14ac:dyDescent="0.3">
      <c r="G25" s="35"/>
      <c r="H25" s="35"/>
      <c r="I25" s="35"/>
      <c r="J25" s="35"/>
      <c r="K25" s="35"/>
      <c r="L25" s="35"/>
      <c r="M25" s="35"/>
      <c r="N25" s="35"/>
      <c r="O25" s="35"/>
      <c r="P25" s="35"/>
      <c r="Q25" s="35"/>
      <c r="R25" s="35"/>
      <c r="S25" s="35"/>
      <c r="T25" s="35"/>
      <c r="U25" s="35"/>
      <c r="V25" s="35"/>
    </row>
    <row r="26" spans="2:22" x14ac:dyDescent="0.3">
      <c r="G26" s="35"/>
      <c r="H26" s="35"/>
      <c r="I26" s="35"/>
      <c r="J26" s="35"/>
      <c r="K26" s="35"/>
      <c r="L26" s="35"/>
      <c r="M26" s="35"/>
      <c r="N26" s="35"/>
      <c r="O26" s="35"/>
      <c r="P26" s="35"/>
      <c r="Q26" s="35"/>
      <c r="R26" s="35"/>
      <c r="S26" s="35"/>
      <c r="T26" s="35"/>
      <c r="U26" s="35"/>
      <c r="V26" s="35"/>
    </row>
    <row r="27" spans="2:22" x14ac:dyDescent="0.3">
      <c r="G27" s="35"/>
      <c r="H27" s="35"/>
      <c r="I27" s="35"/>
      <c r="J27" s="35"/>
      <c r="K27" s="35"/>
      <c r="L27" s="35"/>
      <c r="M27" s="35"/>
      <c r="N27" s="35"/>
      <c r="O27" s="35"/>
      <c r="P27" s="35"/>
      <c r="Q27" s="35"/>
      <c r="R27" s="35"/>
      <c r="S27" s="35"/>
      <c r="T27" s="35"/>
      <c r="U27" s="35"/>
      <c r="V27" s="35"/>
    </row>
    <row r="28" spans="2:22" x14ac:dyDescent="0.3">
      <c r="G28" s="35"/>
      <c r="H28" s="35"/>
      <c r="I28" s="35"/>
      <c r="J28" s="35"/>
      <c r="K28" s="35"/>
      <c r="L28" s="35"/>
      <c r="M28" s="35"/>
      <c r="N28" s="35"/>
      <c r="O28" s="35"/>
      <c r="P28" s="35"/>
      <c r="Q28" s="35"/>
      <c r="R28" s="35"/>
      <c r="S28" s="35"/>
      <c r="T28" s="35"/>
      <c r="U28" s="35"/>
      <c r="V28" s="35"/>
    </row>
    <row r="29" spans="2:22" x14ac:dyDescent="0.3">
      <c r="G29" s="35"/>
      <c r="H29" s="35"/>
      <c r="I29" s="35"/>
      <c r="J29" s="35"/>
      <c r="K29" s="35"/>
      <c r="L29" s="35"/>
      <c r="M29" s="35"/>
      <c r="N29" s="35"/>
      <c r="O29" s="35"/>
      <c r="P29" s="35"/>
      <c r="Q29" s="35"/>
      <c r="R29" s="35"/>
      <c r="S29" s="35"/>
      <c r="T29" s="35"/>
      <c r="U29" s="35"/>
      <c r="V29" s="35"/>
    </row>
    <row r="30" spans="2:22" x14ac:dyDescent="0.3">
      <c r="G30" s="35"/>
      <c r="H30" s="35"/>
      <c r="I30" s="35"/>
      <c r="J30" s="35"/>
      <c r="K30" s="35"/>
      <c r="L30" s="35"/>
      <c r="M30" s="35"/>
      <c r="N30" s="35"/>
      <c r="O30" s="35"/>
      <c r="P30" s="35"/>
      <c r="Q30" s="35"/>
      <c r="R30" s="35"/>
      <c r="S30" s="35"/>
      <c r="T30" s="35"/>
      <c r="U30" s="35"/>
      <c r="V30" s="35"/>
    </row>
    <row r="31" spans="2:22" x14ac:dyDescent="0.3">
      <c r="G31" s="35"/>
      <c r="H31" s="35"/>
      <c r="I31" s="35"/>
      <c r="J31" s="35"/>
      <c r="K31" s="35"/>
      <c r="L31" s="35"/>
      <c r="M31" s="35"/>
      <c r="N31" s="35"/>
      <c r="O31" s="35"/>
      <c r="P31" s="35"/>
      <c r="Q31" s="35"/>
      <c r="R31" s="35"/>
      <c r="S31" s="35"/>
      <c r="T31" s="35"/>
      <c r="U31" s="35"/>
      <c r="V31" s="35"/>
    </row>
  </sheetData>
  <mergeCells count="1">
    <mergeCell ref="G23:V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6F2C2-8AED-49A5-9BD0-E99481D6A420}">
  <dimension ref="A1:P19"/>
  <sheetViews>
    <sheetView zoomScale="85" workbookViewId="0">
      <selection activeCell="I20" sqref="I20"/>
    </sheetView>
  </sheetViews>
  <sheetFormatPr defaultRowHeight="14.4" x14ac:dyDescent="0.3"/>
  <cols>
    <col min="1" max="1" width="24.33203125" style="11" bestFit="1" customWidth="1"/>
    <col min="2" max="2" width="8.88671875" style="11" bestFit="1" customWidth="1"/>
    <col min="3" max="3" width="8.77734375" style="11" bestFit="1" customWidth="1"/>
    <col min="4" max="4" width="6.6640625" style="11" bestFit="1" customWidth="1"/>
    <col min="5" max="5" width="8" style="11" bestFit="1" customWidth="1"/>
    <col min="6" max="6" width="8.77734375" style="11" bestFit="1" customWidth="1"/>
    <col min="7" max="7" width="18.33203125" style="11" bestFit="1" customWidth="1"/>
    <col min="8" max="8" width="19.5546875" style="11" bestFit="1" customWidth="1"/>
    <col min="9" max="9" width="24.33203125" style="11" bestFit="1" customWidth="1"/>
    <col min="10" max="10" width="8.88671875" style="11" bestFit="1" customWidth="1"/>
    <col min="11" max="11" width="8.77734375" style="11" bestFit="1" customWidth="1"/>
    <col min="12" max="12" width="6.6640625" style="11" bestFit="1" customWidth="1"/>
    <col min="13" max="13" width="8" style="11" bestFit="1" customWidth="1"/>
    <col min="14" max="14" width="8.88671875" style="11" bestFit="1" customWidth="1"/>
    <col min="15" max="15" width="18.33203125" style="11" bestFit="1" customWidth="1"/>
    <col min="16" max="16" width="19.5546875" style="11" bestFit="1" customWidth="1"/>
    <col min="17" max="16384" width="8.88671875" style="11"/>
  </cols>
  <sheetData>
    <row r="1" spans="1:16" x14ac:dyDescent="0.3">
      <c r="A1" s="43" t="s">
        <v>118</v>
      </c>
      <c r="B1" s="43"/>
      <c r="C1" s="43"/>
      <c r="D1" s="43"/>
      <c r="E1" s="43"/>
      <c r="F1" s="43"/>
      <c r="G1" s="43"/>
      <c r="H1" s="43"/>
      <c r="I1" s="43"/>
      <c r="J1" s="43"/>
      <c r="K1" s="43"/>
      <c r="L1" s="43"/>
      <c r="M1" s="43"/>
      <c r="N1" s="43"/>
      <c r="O1" s="43"/>
      <c r="P1" s="43"/>
    </row>
    <row r="2" spans="1:16" x14ac:dyDescent="0.3">
      <c r="A2" s="44" t="s">
        <v>119</v>
      </c>
      <c r="B2" s="45"/>
      <c r="C2" s="45"/>
      <c r="D2" s="45"/>
      <c r="E2" s="45"/>
      <c r="F2" s="45"/>
      <c r="G2" s="45"/>
      <c r="H2" s="45"/>
      <c r="I2" s="40" t="s">
        <v>120</v>
      </c>
      <c r="J2" s="41"/>
      <c r="K2" s="41"/>
      <c r="L2" s="41"/>
      <c r="M2" s="41"/>
      <c r="N2" s="41"/>
      <c r="O2" s="41"/>
      <c r="P2" s="42"/>
    </row>
    <row r="3" spans="1:16" x14ac:dyDescent="0.3">
      <c r="A3" s="17" t="s">
        <v>121</v>
      </c>
      <c r="B3" s="18" t="s">
        <v>13</v>
      </c>
      <c r="C3" s="18" t="s">
        <v>5</v>
      </c>
      <c r="D3" s="18" t="s">
        <v>94</v>
      </c>
      <c r="E3" s="18" t="s">
        <v>95</v>
      </c>
      <c r="F3" s="18" t="s">
        <v>122</v>
      </c>
      <c r="G3" s="18" t="s">
        <v>124</v>
      </c>
      <c r="H3" s="18" t="s">
        <v>125</v>
      </c>
      <c r="I3" s="17" t="s">
        <v>121</v>
      </c>
      <c r="J3" s="18" t="s">
        <v>13</v>
      </c>
      <c r="K3" s="18" t="s">
        <v>5</v>
      </c>
      <c r="L3" s="18" t="s">
        <v>94</v>
      </c>
      <c r="M3" s="18" t="s">
        <v>95</v>
      </c>
      <c r="N3" s="18" t="s">
        <v>122</v>
      </c>
      <c r="O3" s="18" t="s">
        <v>124</v>
      </c>
      <c r="P3" s="19" t="s">
        <v>125</v>
      </c>
    </row>
    <row r="4" spans="1:16" x14ac:dyDescent="0.3">
      <c r="A4" s="12" t="s">
        <v>15</v>
      </c>
      <c r="B4" s="13" t="s">
        <v>20</v>
      </c>
      <c r="C4" s="11">
        <v>3384</v>
      </c>
      <c r="D4" s="11">
        <v>4</v>
      </c>
      <c r="E4" s="11">
        <v>2</v>
      </c>
      <c r="F4" s="20">
        <f t="shared" ref="F4:F13" si="0">(D4+E4)/90</f>
        <v>6.6666666666666666E-2</v>
      </c>
      <c r="G4" s="21">
        <f>(D4/D17)</f>
        <v>0.5714285714285714</v>
      </c>
      <c r="H4" s="21">
        <f>(E4/E17)</f>
        <v>0.08</v>
      </c>
      <c r="I4" s="12" t="s">
        <v>15</v>
      </c>
      <c r="J4" s="13" t="s">
        <v>20</v>
      </c>
      <c r="K4" s="11">
        <v>3177</v>
      </c>
      <c r="L4" s="11">
        <v>2</v>
      </c>
      <c r="M4" s="11">
        <v>2</v>
      </c>
      <c r="N4" s="26">
        <f>(M4+L4)/90</f>
        <v>4.4444444444444446E-2</v>
      </c>
      <c r="O4" s="21">
        <f>L4/L17</f>
        <v>0.18181818181818182</v>
      </c>
      <c r="P4" s="22">
        <f>M4/M17</f>
        <v>0.13333333333333333</v>
      </c>
    </row>
    <row r="5" spans="1:16" x14ac:dyDescent="0.3">
      <c r="A5" s="12" t="s">
        <v>17</v>
      </c>
      <c r="B5" s="13" t="s">
        <v>20</v>
      </c>
      <c r="C5" s="11">
        <v>2462</v>
      </c>
      <c r="D5" s="11">
        <v>1</v>
      </c>
      <c r="E5" s="11">
        <v>12</v>
      </c>
      <c r="F5" s="20">
        <f t="shared" si="0"/>
        <v>0.14444444444444443</v>
      </c>
      <c r="G5" s="21">
        <f>D5/D17</f>
        <v>0.14285714285714285</v>
      </c>
      <c r="H5" s="21">
        <f>E5/E17</f>
        <v>0.48</v>
      </c>
      <c r="I5" s="12" t="s">
        <v>17</v>
      </c>
      <c r="J5" s="13" t="s">
        <v>20</v>
      </c>
      <c r="K5" s="11">
        <v>2155</v>
      </c>
      <c r="L5" s="11">
        <v>3</v>
      </c>
      <c r="M5" s="11">
        <v>4</v>
      </c>
      <c r="N5" s="26">
        <f t="shared" ref="N5:N15" si="1">(M5+L5)/90</f>
        <v>7.7777777777777779E-2</v>
      </c>
      <c r="O5" s="21">
        <f>L5/L17</f>
        <v>0.27272727272727271</v>
      </c>
      <c r="P5" s="22">
        <f>M5/M17</f>
        <v>0.26666666666666666</v>
      </c>
    </row>
    <row r="6" spans="1:16" x14ac:dyDescent="0.3">
      <c r="A6" s="12" t="s">
        <v>18</v>
      </c>
      <c r="B6" s="13" t="s">
        <v>20</v>
      </c>
      <c r="C6" s="11">
        <v>1537</v>
      </c>
      <c r="D6" s="11">
        <v>1</v>
      </c>
      <c r="E6" s="11">
        <v>0</v>
      </c>
      <c r="F6" s="20">
        <f t="shared" si="0"/>
        <v>1.1111111111111112E-2</v>
      </c>
      <c r="G6" s="21">
        <f>D6/D17</f>
        <v>0.14285714285714285</v>
      </c>
      <c r="H6" s="21">
        <f>E6/E17</f>
        <v>0</v>
      </c>
      <c r="I6" s="12" t="s">
        <v>16</v>
      </c>
      <c r="J6" s="13" t="s">
        <v>20</v>
      </c>
      <c r="K6" s="11">
        <v>1786</v>
      </c>
      <c r="L6" s="11">
        <v>0</v>
      </c>
      <c r="M6" s="11">
        <v>1</v>
      </c>
      <c r="N6" s="26">
        <f t="shared" si="1"/>
        <v>1.1111111111111112E-2</v>
      </c>
      <c r="O6" s="21">
        <f>L6/L17</f>
        <v>0</v>
      </c>
      <c r="P6" s="22">
        <f>M6/M17</f>
        <v>6.6666666666666666E-2</v>
      </c>
    </row>
    <row r="7" spans="1:16" x14ac:dyDescent="0.3">
      <c r="A7" s="12" t="s">
        <v>19</v>
      </c>
      <c r="B7" s="13" t="s">
        <v>20</v>
      </c>
      <c r="C7" s="11">
        <v>3216</v>
      </c>
      <c r="D7" s="11">
        <v>0</v>
      </c>
      <c r="E7" s="11">
        <v>11</v>
      </c>
      <c r="F7" s="20">
        <f t="shared" si="0"/>
        <v>0.12222222222222222</v>
      </c>
      <c r="G7" s="21">
        <f>D7/D17</f>
        <v>0</v>
      </c>
      <c r="H7" s="21">
        <f>E7/E17</f>
        <v>0.44</v>
      </c>
      <c r="I7" s="12" t="s">
        <v>19</v>
      </c>
      <c r="J7" s="13" t="s">
        <v>20</v>
      </c>
      <c r="K7" s="11">
        <v>1693</v>
      </c>
      <c r="L7" s="11">
        <v>3</v>
      </c>
      <c r="M7" s="11">
        <v>2</v>
      </c>
      <c r="N7" s="26">
        <f t="shared" si="1"/>
        <v>5.5555555555555552E-2</v>
      </c>
      <c r="O7" s="21">
        <f>L7/L17</f>
        <v>0.27272727272727271</v>
      </c>
      <c r="P7" s="22">
        <f>M7/M17</f>
        <v>0.13333333333333333</v>
      </c>
    </row>
    <row r="8" spans="1:16" x14ac:dyDescent="0.3">
      <c r="A8" s="12" t="s">
        <v>123</v>
      </c>
      <c r="B8" s="13" t="s">
        <v>26</v>
      </c>
      <c r="C8" s="11">
        <v>2725</v>
      </c>
      <c r="D8" s="11">
        <v>3</v>
      </c>
      <c r="E8" s="11">
        <v>0</v>
      </c>
      <c r="F8" s="20">
        <f t="shared" si="0"/>
        <v>3.3333333333333333E-2</v>
      </c>
      <c r="G8" s="21">
        <f>D8/D18</f>
        <v>0.16666666666666666</v>
      </c>
      <c r="H8" s="21">
        <f>E8/E18</f>
        <v>0</v>
      </c>
      <c r="I8" s="12" t="s">
        <v>63</v>
      </c>
      <c r="J8" s="13" t="s">
        <v>20</v>
      </c>
      <c r="K8" s="11">
        <v>1574</v>
      </c>
      <c r="L8" s="11">
        <v>0</v>
      </c>
      <c r="M8" s="11">
        <v>0</v>
      </c>
      <c r="N8" s="26">
        <f t="shared" si="1"/>
        <v>0</v>
      </c>
      <c r="O8" s="21">
        <f>L8/L17</f>
        <v>0</v>
      </c>
      <c r="P8" s="22">
        <f>M8/M17</f>
        <v>0</v>
      </c>
    </row>
    <row r="9" spans="1:16" x14ac:dyDescent="0.3">
      <c r="A9" s="12" t="s">
        <v>31</v>
      </c>
      <c r="B9" s="13" t="s">
        <v>26</v>
      </c>
      <c r="C9" s="11">
        <v>1789</v>
      </c>
      <c r="D9" s="11">
        <v>5</v>
      </c>
      <c r="E9" s="11">
        <v>4</v>
      </c>
      <c r="F9" s="20">
        <f t="shared" si="0"/>
        <v>0.1</v>
      </c>
      <c r="G9" s="21">
        <f>D9/D18</f>
        <v>0.27777777777777779</v>
      </c>
      <c r="H9" s="21">
        <f>E9/E18</f>
        <v>0.30769230769230771</v>
      </c>
      <c r="I9" s="12" t="s">
        <v>71</v>
      </c>
      <c r="J9" s="13" t="s">
        <v>26</v>
      </c>
      <c r="K9" s="11">
        <v>2599</v>
      </c>
      <c r="L9" s="11">
        <v>5</v>
      </c>
      <c r="M9" s="11">
        <v>5</v>
      </c>
      <c r="N9" s="26">
        <f t="shared" si="1"/>
        <v>0.1111111111111111</v>
      </c>
      <c r="O9" s="21">
        <f>L9/L17</f>
        <v>0.45454545454545453</v>
      </c>
      <c r="P9" s="22">
        <f>M9/M17</f>
        <v>0.33333333333333331</v>
      </c>
    </row>
    <row r="10" spans="1:16" x14ac:dyDescent="0.3">
      <c r="A10" s="12" t="s">
        <v>37</v>
      </c>
      <c r="B10" s="13" t="s">
        <v>26</v>
      </c>
      <c r="C10" s="11">
        <v>1987</v>
      </c>
      <c r="D10" s="11">
        <v>1</v>
      </c>
      <c r="E10" s="11">
        <v>3</v>
      </c>
      <c r="F10" s="20">
        <f t="shared" si="0"/>
        <v>4.4444444444444446E-2</v>
      </c>
      <c r="G10" s="21">
        <f>D10/D18</f>
        <v>5.5555555555555552E-2</v>
      </c>
      <c r="H10" s="21">
        <f>E10/E18</f>
        <v>0.23076923076923078</v>
      </c>
      <c r="I10" s="12" t="s">
        <v>67</v>
      </c>
      <c r="J10" s="13" t="s">
        <v>26</v>
      </c>
      <c r="K10" s="11">
        <v>2104</v>
      </c>
      <c r="L10" s="11">
        <v>3</v>
      </c>
      <c r="M10" s="11">
        <v>2</v>
      </c>
      <c r="N10" s="26">
        <f t="shared" si="1"/>
        <v>5.5555555555555552E-2</v>
      </c>
      <c r="O10" s="21">
        <f>L10/L18</f>
        <v>0.21428571428571427</v>
      </c>
      <c r="P10" s="22">
        <f>M10/M18</f>
        <v>0.14285714285714285</v>
      </c>
    </row>
    <row r="11" spans="1:16" x14ac:dyDescent="0.3">
      <c r="A11" s="12" t="s">
        <v>38</v>
      </c>
      <c r="B11" s="13" t="s">
        <v>26</v>
      </c>
      <c r="C11" s="11">
        <v>2017</v>
      </c>
      <c r="D11" s="11">
        <v>1</v>
      </c>
      <c r="E11" s="11">
        <v>2</v>
      </c>
      <c r="F11" s="20">
        <f t="shared" si="0"/>
        <v>3.3333333333333333E-2</v>
      </c>
      <c r="G11" s="21">
        <f>D11/D18</f>
        <v>5.5555555555555552E-2</v>
      </c>
      <c r="H11" s="21">
        <f>E11/E18</f>
        <v>0.15384615384615385</v>
      </c>
      <c r="I11" s="12" t="s">
        <v>59</v>
      </c>
      <c r="J11" s="13" t="s">
        <v>26</v>
      </c>
      <c r="K11" s="11">
        <v>1722</v>
      </c>
      <c r="L11" s="11">
        <v>1</v>
      </c>
      <c r="M11" s="11">
        <v>0</v>
      </c>
      <c r="N11" s="26">
        <f t="shared" si="1"/>
        <v>1.1111111111111112E-2</v>
      </c>
      <c r="O11" s="21">
        <f>L11/L18</f>
        <v>7.1428571428571425E-2</v>
      </c>
      <c r="P11" s="22">
        <f>M11/M18</f>
        <v>0</v>
      </c>
    </row>
    <row r="12" spans="1:16" x14ac:dyDescent="0.3">
      <c r="A12" s="12" t="s">
        <v>40</v>
      </c>
      <c r="B12" s="13" t="s">
        <v>41</v>
      </c>
      <c r="C12" s="11">
        <v>3250</v>
      </c>
      <c r="D12" s="11">
        <v>22</v>
      </c>
      <c r="E12" s="11">
        <v>8</v>
      </c>
      <c r="F12" s="20">
        <f t="shared" si="0"/>
        <v>0.33333333333333331</v>
      </c>
      <c r="G12" s="21">
        <f>D12/D19</f>
        <v>0.36065573770491804</v>
      </c>
      <c r="H12" s="21">
        <f>E12/E19</f>
        <v>0.47058823529411764</v>
      </c>
      <c r="I12" s="12" t="s">
        <v>40</v>
      </c>
      <c r="J12" s="13" t="s">
        <v>41</v>
      </c>
      <c r="K12" s="11">
        <v>2534</v>
      </c>
      <c r="L12" s="11">
        <v>18</v>
      </c>
      <c r="M12" s="11">
        <v>10</v>
      </c>
      <c r="N12" s="26">
        <f t="shared" si="1"/>
        <v>0.31111111111111112</v>
      </c>
      <c r="O12" s="21">
        <f>L12/L19</f>
        <v>0.32727272727272727</v>
      </c>
      <c r="P12" s="22">
        <f>M12/M19</f>
        <v>0.32258064516129031</v>
      </c>
    </row>
    <row r="13" spans="1:16" x14ac:dyDescent="0.3">
      <c r="A13" s="12" t="s">
        <v>44</v>
      </c>
      <c r="B13" s="13" t="s">
        <v>41</v>
      </c>
      <c r="C13" s="11">
        <v>3077</v>
      </c>
      <c r="D13" s="11">
        <v>12</v>
      </c>
      <c r="E13" s="11">
        <v>6</v>
      </c>
      <c r="F13" s="20">
        <f t="shared" si="0"/>
        <v>0.2</v>
      </c>
      <c r="G13" s="21">
        <f>D13/D19</f>
        <v>0.19672131147540983</v>
      </c>
      <c r="H13" s="21">
        <f>E13/E19</f>
        <v>0.35294117647058826</v>
      </c>
      <c r="I13" s="12" t="s">
        <v>57</v>
      </c>
      <c r="J13" s="13" t="s">
        <v>41</v>
      </c>
      <c r="K13" s="11">
        <v>2629</v>
      </c>
      <c r="L13" s="11">
        <v>8</v>
      </c>
      <c r="M13" s="11">
        <v>5</v>
      </c>
      <c r="N13" s="26">
        <f t="shared" si="1"/>
        <v>0.14444444444444443</v>
      </c>
      <c r="O13" s="21">
        <f>L13/L19</f>
        <v>0.14545454545454545</v>
      </c>
      <c r="P13" s="22">
        <f>M13/M19</f>
        <v>0.16129032258064516</v>
      </c>
    </row>
    <row r="14" spans="1:16" x14ac:dyDescent="0.3">
      <c r="A14" s="14" t="s">
        <v>43</v>
      </c>
      <c r="B14" s="15" t="s">
        <v>41</v>
      </c>
      <c r="C14" s="16">
        <v>2607</v>
      </c>
      <c r="D14" s="16">
        <v>22</v>
      </c>
      <c r="E14" s="16">
        <v>1</v>
      </c>
      <c r="F14" s="20">
        <f>(D14+E14)/90</f>
        <v>0.25555555555555554</v>
      </c>
      <c r="G14" s="23">
        <f>D14/D19</f>
        <v>0.36065573770491804</v>
      </c>
      <c r="H14" s="23">
        <f>E14/E19</f>
        <v>5.8823529411764705E-2</v>
      </c>
      <c r="I14" s="12" t="s">
        <v>65</v>
      </c>
      <c r="J14" s="13" t="s">
        <v>41</v>
      </c>
      <c r="K14" s="11">
        <v>2047</v>
      </c>
      <c r="L14" s="11">
        <v>11</v>
      </c>
      <c r="M14" s="11">
        <v>8</v>
      </c>
      <c r="N14" s="26">
        <f t="shared" si="1"/>
        <v>0.21111111111111111</v>
      </c>
      <c r="O14" s="21">
        <f>L14/L19</f>
        <v>0.2</v>
      </c>
      <c r="P14" s="22">
        <f>M14/M19</f>
        <v>0.25806451612903225</v>
      </c>
    </row>
    <row r="15" spans="1:16" x14ac:dyDescent="0.3">
      <c r="I15" s="14" t="s">
        <v>60</v>
      </c>
      <c r="J15" s="15" t="s">
        <v>41</v>
      </c>
      <c r="K15" s="16">
        <v>1649</v>
      </c>
      <c r="L15" s="16">
        <v>8</v>
      </c>
      <c r="M15" s="16">
        <v>5</v>
      </c>
      <c r="N15" s="27">
        <f t="shared" si="1"/>
        <v>0.14444444444444443</v>
      </c>
      <c r="O15" s="23">
        <f>L15/L19</f>
        <v>0.14545454545454545</v>
      </c>
      <c r="P15" s="24">
        <f>M15/M19</f>
        <v>0.16129032258064516</v>
      </c>
    </row>
    <row r="16" spans="1:16" x14ac:dyDescent="0.3">
      <c r="B16" s="18"/>
      <c r="C16" s="19"/>
      <c r="J16" s="13"/>
      <c r="N16" s="26"/>
      <c r="O16" s="21"/>
      <c r="P16" s="21"/>
    </row>
    <row r="17" spans="1:13" x14ac:dyDescent="0.3">
      <c r="A17" s="11" t="s">
        <v>126</v>
      </c>
      <c r="B17" s="25"/>
      <c r="C17" s="25"/>
      <c r="D17" s="11">
        <v>7</v>
      </c>
      <c r="E17" s="11">
        <v>25</v>
      </c>
      <c r="G17" s="25"/>
      <c r="H17" s="25"/>
      <c r="I17" s="11" t="s">
        <v>126</v>
      </c>
      <c r="L17" s="11">
        <v>11</v>
      </c>
      <c r="M17" s="11">
        <v>15</v>
      </c>
    </row>
    <row r="18" spans="1:13" x14ac:dyDescent="0.3">
      <c r="A18" s="11" t="s">
        <v>127</v>
      </c>
      <c r="B18" s="25"/>
      <c r="C18" s="25"/>
      <c r="D18" s="11">
        <v>18</v>
      </c>
      <c r="E18" s="11">
        <v>13</v>
      </c>
      <c r="I18" s="11" t="s">
        <v>127</v>
      </c>
      <c r="L18" s="11">
        <v>14</v>
      </c>
      <c r="M18" s="11">
        <v>14</v>
      </c>
    </row>
    <row r="19" spans="1:13" x14ac:dyDescent="0.3">
      <c r="A19" s="11" t="s">
        <v>128</v>
      </c>
      <c r="B19" s="25"/>
      <c r="C19" s="25"/>
      <c r="D19" s="11">
        <v>61</v>
      </c>
      <c r="E19" s="11">
        <v>17</v>
      </c>
      <c r="I19" s="11" t="s">
        <v>128</v>
      </c>
      <c r="L19" s="11">
        <v>55</v>
      </c>
      <c r="M19" s="11">
        <v>31</v>
      </c>
    </row>
  </sheetData>
  <mergeCells count="3">
    <mergeCell ref="I2:P2"/>
    <mergeCell ref="A1:P1"/>
    <mergeCell ref="A2:H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935D8-B30A-4EE8-9782-CC0ADB645512}">
  <dimension ref="A1:P18"/>
  <sheetViews>
    <sheetView zoomScale="90" zoomScaleNormal="90" workbookViewId="0">
      <selection activeCell="P16" sqref="P16"/>
    </sheetView>
  </sheetViews>
  <sheetFormatPr defaultRowHeight="14.4" x14ac:dyDescent="0.3"/>
  <cols>
    <col min="1" max="1" width="23.6640625" bestFit="1" customWidth="1"/>
    <col min="2" max="2" width="9.109375" bestFit="1" customWidth="1"/>
    <col min="3" max="3" width="8.88671875" bestFit="1" customWidth="1"/>
    <col min="4" max="4" width="6.6640625" bestFit="1" customWidth="1"/>
    <col min="5" max="5" width="8.21875" bestFit="1" customWidth="1"/>
    <col min="6" max="6" width="8.6640625" bestFit="1" customWidth="1"/>
    <col min="7" max="7" width="18.33203125" bestFit="1" customWidth="1"/>
    <col min="8" max="8" width="20.109375" bestFit="1" customWidth="1"/>
    <col min="9" max="9" width="23.6640625" bestFit="1" customWidth="1"/>
    <col min="10" max="10" width="9.109375" bestFit="1" customWidth="1"/>
    <col min="11" max="11" width="8.88671875" bestFit="1" customWidth="1"/>
    <col min="12" max="12" width="6.6640625" bestFit="1" customWidth="1"/>
    <col min="13" max="13" width="8.21875" bestFit="1" customWidth="1"/>
    <col min="14" max="14" width="8.6640625" bestFit="1" customWidth="1"/>
    <col min="15" max="15" width="18.33203125" bestFit="1" customWidth="1"/>
    <col min="16" max="16" width="20.109375" bestFit="1" customWidth="1"/>
  </cols>
  <sheetData>
    <row r="1" spans="1:16" x14ac:dyDescent="0.3">
      <c r="A1" s="46" t="s">
        <v>131</v>
      </c>
      <c r="B1" s="46"/>
      <c r="C1" s="46"/>
      <c r="D1" s="46"/>
      <c r="E1" s="46"/>
      <c r="F1" s="46"/>
      <c r="G1" s="46"/>
      <c r="H1" s="46"/>
      <c r="I1" s="46"/>
      <c r="J1" s="46"/>
      <c r="K1" s="46"/>
      <c r="L1" s="46"/>
      <c r="M1" s="46"/>
      <c r="N1" s="46"/>
      <c r="O1" s="46"/>
      <c r="P1" s="46"/>
    </row>
    <row r="2" spans="1:16" x14ac:dyDescent="0.3">
      <c r="A2" s="40" t="s">
        <v>129</v>
      </c>
      <c r="B2" s="41"/>
      <c r="C2" s="41"/>
      <c r="D2" s="41"/>
      <c r="E2" s="41"/>
      <c r="F2" s="41"/>
      <c r="G2" s="41"/>
      <c r="H2" s="42"/>
      <c r="I2" s="40" t="s">
        <v>130</v>
      </c>
      <c r="J2" s="41"/>
      <c r="K2" s="41"/>
      <c r="L2" s="41"/>
      <c r="M2" s="41"/>
      <c r="N2" s="41"/>
      <c r="O2" s="41"/>
      <c r="P2" s="42"/>
    </row>
    <row r="3" spans="1:16" x14ac:dyDescent="0.3">
      <c r="A3" s="17" t="s">
        <v>121</v>
      </c>
      <c r="B3" s="18" t="s">
        <v>13</v>
      </c>
      <c r="C3" s="18" t="s">
        <v>5</v>
      </c>
      <c r="D3" s="18" t="s">
        <v>94</v>
      </c>
      <c r="E3" s="18" t="s">
        <v>95</v>
      </c>
      <c r="F3" s="18" t="s">
        <v>122</v>
      </c>
      <c r="G3" s="18" t="s">
        <v>124</v>
      </c>
      <c r="H3" s="18" t="s">
        <v>125</v>
      </c>
      <c r="I3" s="17" t="s">
        <v>121</v>
      </c>
      <c r="J3" s="18" t="s">
        <v>13</v>
      </c>
      <c r="K3" s="18" t="s">
        <v>5</v>
      </c>
      <c r="L3" s="18" t="s">
        <v>94</v>
      </c>
      <c r="M3" s="18" t="s">
        <v>95</v>
      </c>
      <c r="N3" s="18" t="s">
        <v>122</v>
      </c>
      <c r="O3" s="18" t="s">
        <v>124</v>
      </c>
      <c r="P3" s="19" t="s">
        <v>125</v>
      </c>
    </row>
    <row r="4" spans="1:16" x14ac:dyDescent="0.3">
      <c r="A4" s="12" t="s">
        <v>15</v>
      </c>
      <c r="B4" s="13" t="s">
        <v>20</v>
      </c>
      <c r="C4" s="11">
        <v>3420</v>
      </c>
      <c r="D4" s="11">
        <v>5</v>
      </c>
      <c r="E4" s="11">
        <v>1</v>
      </c>
      <c r="F4" s="20">
        <f t="shared" ref="F4:F8" si="0">(D4+E4)/90</f>
        <v>6.6666666666666666E-2</v>
      </c>
      <c r="G4" s="21">
        <f>(D4/D16)</f>
        <v>0.41666666666666669</v>
      </c>
      <c r="H4" s="21">
        <f>(E4/E16)</f>
        <v>3.7037037037037035E-2</v>
      </c>
      <c r="I4" s="12" t="s">
        <v>15</v>
      </c>
      <c r="J4" s="13" t="s">
        <v>20</v>
      </c>
      <c r="K4" s="11">
        <v>3330</v>
      </c>
      <c r="L4" s="11">
        <v>3</v>
      </c>
      <c r="M4" s="11">
        <v>1</v>
      </c>
      <c r="N4" s="34">
        <f>(M4+L4)/90</f>
        <v>4.4444444444444446E-2</v>
      </c>
      <c r="O4" s="21">
        <f>L4/L16</f>
        <v>0.42857142857142855</v>
      </c>
      <c r="P4" s="21">
        <f>M4/M16</f>
        <v>7.6923076923076927E-2</v>
      </c>
    </row>
    <row r="5" spans="1:16" x14ac:dyDescent="0.3">
      <c r="A5" s="12" t="s">
        <v>17</v>
      </c>
      <c r="B5" s="13" t="s">
        <v>20</v>
      </c>
      <c r="C5" s="11">
        <v>3175</v>
      </c>
      <c r="D5" s="11">
        <v>4</v>
      </c>
      <c r="E5" s="11">
        <v>13</v>
      </c>
      <c r="F5" s="20">
        <f t="shared" si="0"/>
        <v>0.18888888888888888</v>
      </c>
      <c r="G5" s="21">
        <f>D5/D16</f>
        <v>0.33333333333333331</v>
      </c>
      <c r="H5" s="21">
        <f>E5/E16</f>
        <v>0.48148148148148145</v>
      </c>
      <c r="I5" s="12" t="s">
        <v>17</v>
      </c>
      <c r="J5" s="13" t="s">
        <v>20</v>
      </c>
      <c r="K5" s="11">
        <v>2365</v>
      </c>
      <c r="L5" s="11">
        <v>3</v>
      </c>
      <c r="M5" s="11">
        <v>6</v>
      </c>
      <c r="N5" s="34">
        <f t="shared" ref="N5:N13" si="1">(M5+L5)/90</f>
        <v>0.1</v>
      </c>
      <c r="O5" s="21">
        <f>L5/L16</f>
        <v>0.42857142857142855</v>
      </c>
      <c r="P5" s="21">
        <f>M5/M16</f>
        <v>0.46153846153846156</v>
      </c>
    </row>
    <row r="6" spans="1:16" x14ac:dyDescent="0.3">
      <c r="A6" s="12" t="s">
        <v>16</v>
      </c>
      <c r="B6" s="13" t="s">
        <v>20</v>
      </c>
      <c r="C6" s="11">
        <v>2004</v>
      </c>
      <c r="D6" s="11">
        <v>0</v>
      </c>
      <c r="E6" s="11">
        <v>0</v>
      </c>
      <c r="F6" s="20">
        <f t="shared" si="0"/>
        <v>0</v>
      </c>
      <c r="G6" s="21">
        <f>D6/D16</f>
        <v>0</v>
      </c>
      <c r="H6" s="21">
        <f>E6/E16</f>
        <v>0</v>
      </c>
      <c r="I6" s="12" t="s">
        <v>19</v>
      </c>
      <c r="J6" s="13" t="s">
        <v>20</v>
      </c>
      <c r="K6" s="11">
        <v>2482</v>
      </c>
      <c r="L6" s="11">
        <v>0</v>
      </c>
      <c r="M6" s="11">
        <v>1</v>
      </c>
      <c r="N6" s="34">
        <f t="shared" ref="N6:N7" si="2">(M6+L6)/90</f>
        <v>1.1111111111111112E-2</v>
      </c>
      <c r="O6" s="21">
        <f>L6/L16</f>
        <v>0</v>
      </c>
      <c r="P6" s="21">
        <f>M6/M16</f>
        <v>7.6923076923076927E-2</v>
      </c>
    </row>
    <row r="7" spans="1:16" x14ac:dyDescent="0.3">
      <c r="A7" s="12" t="s">
        <v>19</v>
      </c>
      <c r="B7" s="13" t="s">
        <v>20</v>
      </c>
      <c r="C7" s="11">
        <v>3111</v>
      </c>
      <c r="D7" s="11">
        <v>2</v>
      </c>
      <c r="E7" s="11">
        <v>12</v>
      </c>
      <c r="F7" s="20">
        <f t="shared" si="0"/>
        <v>0.15555555555555556</v>
      </c>
      <c r="G7" s="21">
        <f>D7/D16</f>
        <v>0.16666666666666666</v>
      </c>
      <c r="H7" s="21">
        <f>E7/E16</f>
        <v>0.44444444444444442</v>
      </c>
      <c r="I7" s="12" t="s">
        <v>63</v>
      </c>
      <c r="J7" s="13" t="s">
        <v>20</v>
      </c>
      <c r="K7" s="11">
        <v>2560</v>
      </c>
      <c r="L7" s="11">
        <v>1</v>
      </c>
      <c r="M7" s="11">
        <v>2</v>
      </c>
      <c r="N7" s="34">
        <f t="shared" si="2"/>
        <v>3.3333333333333333E-2</v>
      </c>
      <c r="O7" s="21">
        <f>L7/L16</f>
        <v>0.14285714285714285</v>
      </c>
      <c r="P7" s="21">
        <f>M7/M16</f>
        <v>0.15384615384615385</v>
      </c>
    </row>
    <row r="8" spans="1:16" x14ac:dyDescent="0.3">
      <c r="A8" s="12" t="s">
        <v>123</v>
      </c>
      <c r="B8" s="13" t="s">
        <v>26</v>
      </c>
      <c r="C8" s="11">
        <v>2935</v>
      </c>
      <c r="D8" s="11">
        <v>4</v>
      </c>
      <c r="E8" s="11">
        <v>0</v>
      </c>
      <c r="F8" s="20">
        <f t="shared" si="0"/>
        <v>4.4444444444444446E-2</v>
      </c>
      <c r="G8" s="21">
        <f>D8/D17</f>
        <v>0.19047619047619047</v>
      </c>
      <c r="H8" s="21">
        <f>E8/E17</f>
        <v>0</v>
      </c>
      <c r="I8" s="12" t="s">
        <v>61</v>
      </c>
      <c r="J8" s="13" t="s">
        <v>26</v>
      </c>
      <c r="K8" s="11">
        <v>3160</v>
      </c>
      <c r="L8" s="11">
        <v>0</v>
      </c>
      <c r="M8" s="11">
        <v>4</v>
      </c>
      <c r="N8" s="34">
        <f t="shared" si="1"/>
        <v>4.4444444444444446E-2</v>
      </c>
      <c r="O8" s="21">
        <f>L8/L17</f>
        <v>0</v>
      </c>
      <c r="P8" s="21">
        <f>M8/M17</f>
        <v>0.2</v>
      </c>
    </row>
    <row r="9" spans="1:16" x14ac:dyDescent="0.3">
      <c r="A9" s="12" t="s">
        <v>37</v>
      </c>
      <c r="B9" s="13" t="s">
        <v>26</v>
      </c>
      <c r="C9" s="11">
        <v>2238</v>
      </c>
      <c r="D9" s="11">
        <v>4</v>
      </c>
      <c r="E9" s="11">
        <v>5</v>
      </c>
      <c r="F9" s="20">
        <f t="shared" ref="F9:F12" si="3">(D9+E9)/90</f>
        <v>0.1</v>
      </c>
      <c r="G9" s="21">
        <f>D9/D17</f>
        <v>0.19047619047619047</v>
      </c>
      <c r="H9" s="21">
        <f>E9/E17</f>
        <v>0.33333333333333331</v>
      </c>
      <c r="I9" s="12" t="s">
        <v>71</v>
      </c>
      <c r="J9" s="13" t="s">
        <v>26</v>
      </c>
      <c r="K9" s="11">
        <v>2599</v>
      </c>
      <c r="L9" s="11">
        <v>5</v>
      </c>
      <c r="M9" s="11">
        <v>5</v>
      </c>
      <c r="N9" s="34">
        <f t="shared" si="1"/>
        <v>0.1111111111111111</v>
      </c>
      <c r="O9" s="21">
        <f>L9/L17</f>
        <v>0.33333333333333331</v>
      </c>
      <c r="P9" s="21">
        <f>M9/M17</f>
        <v>0.25</v>
      </c>
    </row>
    <row r="10" spans="1:16" x14ac:dyDescent="0.3">
      <c r="A10" s="12" t="s">
        <v>38</v>
      </c>
      <c r="B10" s="13" t="s">
        <v>26</v>
      </c>
      <c r="C10" s="11">
        <v>2079</v>
      </c>
      <c r="D10" s="11">
        <v>2</v>
      </c>
      <c r="E10" s="11">
        <v>3</v>
      </c>
      <c r="F10" s="20">
        <f t="shared" si="3"/>
        <v>5.5555555555555552E-2</v>
      </c>
      <c r="G10" s="21">
        <f>D10/D17</f>
        <v>9.5238095238095233E-2</v>
      </c>
      <c r="H10" s="21">
        <f>E10/E17</f>
        <v>0.2</v>
      </c>
      <c r="I10" s="12" t="s">
        <v>67</v>
      </c>
      <c r="J10" s="13" t="s">
        <v>26</v>
      </c>
      <c r="K10" s="11">
        <v>2491</v>
      </c>
      <c r="L10" s="11">
        <v>6</v>
      </c>
      <c r="M10" s="11">
        <v>6</v>
      </c>
      <c r="N10" s="34">
        <f t="shared" si="1"/>
        <v>0.13333333333333333</v>
      </c>
      <c r="O10" s="21">
        <f>L10/L17</f>
        <v>0.4</v>
      </c>
      <c r="P10" s="21">
        <f>M10/M17</f>
        <v>0.3</v>
      </c>
    </row>
    <row r="11" spans="1:16" x14ac:dyDescent="0.3">
      <c r="A11" s="12" t="s">
        <v>40</v>
      </c>
      <c r="B11" s="13" t="s">
        <v>41</v>
      </c>
      <c r="C11" s="11">
        <v>2876</v>
      </c>
      <c r="D11" s="11">
        <v>19</v>
      </c>
      <c r="E11" s="11">
        <v>10</v>
      </c>
      <c r="F11" s="20">
        <f>(D11+E11)/90</f>
        <v>0.32222222222222224</v>
      </c>
      <c r="G11" s="21">
        <f>D11/D18</f>
        <v>0.38</v>
      </c>
      <c r="H11" s="21">
        <f>E11/E18</f>
        <v>0.38461538461538464</v>
      </c>
      <c r="I11" s="12" t="s">
        <v>36</v>
      </c>
      <c r="J11" s="13" t="s">
        <v>26</v>
      </c>
      <c r="K11" s="11">
        <v>1712</v>
      </c>
      <c r="L11" s="11">
        <v>3</v>
      </c>
      <c r="M11" s="11">
        <v>3</v>
      </c>
      <c r="N11" s="34">
        <f t="shared" si="1"/>
        <v>6.6666666666666666E-2</v>
      </c>
      <c r="O11" s="21">
        <f>L11/L17</f>
        <v>0.2</v>
      </c>
      <c r="P11" s="21">
        <f>M11/M17</f>
        <v>0.15</v>
      </c>
    </row>
    <row r="12" spans="1:16" x14ac:dyDescent="0.3">
      <c r="A12" s="12" t="s">
        <v>44</v>
      </c>
      <c r="B12" s="13" t="s">
        <v>41</v>
      </c>
      <c r="C12" s="11">
        <v>2988</v>
      </c>
      <c r="D12" s="11">
        <v>9</v>
      </c>
      <c r="E12" s="11">
        <v>8</v>
      </c>
      <c r="F12" s="20">
        <f t="shared" si="3"/>
        <v>0.18888888888888888</v>
      </c>
      <c r="G12" s="21">
        <f>D12/D18</f>
        <v>0.18</v>
      </c>
      <c r="H12" s="21">
        <f>E12/E18</f>
        <v>0.30769230769230771</v>
      </c>
      <c r="I12" s="12" t="s">
        <v>40</v>
      </c>
      <c r="J12" s="13" t="s">
        <v>41</v>
      </c>
      <c r="K12" s="11">
        <v>3371</v>
      </c>
      <c r="L12" s="11">
        <v>29</v>
      </c>
      <c r="M12" s="11">
        <v>18</v>
      </c>
      <c r="N12" s="34">
        <f t="shared" si="1"/>
        <v>0.52222222222222225</v>
      </c>
      <c r="O12" s="21">
        <f>L12/L18</f>
        <v>0.46031746031746029</v>
      </c>
      <c r="P12" s="21">
        <f>M12/M18</f>
        <v>0.5625</v>
      </c>
    </row>
    <row r="13" spans="1:16" x14ac:dyDescent="0.3">
      <c r="A13" s="12" t="s">
        <v>43</v>
      </c>
      <c r="B13" s="13" t="s">
        <v>41</v>
      </c>
      <c r="C13" s="11">
        <v>2747</v>
      </c>
      <c r="D13" s="11">
        <v>18</v>
      </c>
      <c r="E13" s="11">
        <v>7</v>
      </c>
      <c r="F13" s="32">
        <f>(D13+E13)/90</f>
        <v>0.27777777777777779</v>
      </c>
      <c r="G13" s="21">
        <f>D13/D18</f>
        <v>0.36</v>
      </c>
      <c r="H13" s="21">
        <f>E13/E18</f>
        <v>0.26923076923076922</v>
      </c>
      <c r="I13" s="12" t="s">
        <v>57</v>
      </c>
      <c r="J13" s="13" t="s">
        <v>41</v>
      </c>
      <c r="K13" s="11">
        <v>2399</v>
      </c>
      <c r="L13" s="11">
        <v>13</v>
      </c>
      <c r="M13" s="11">
        <v>5</v>
      </c>
      <c r="N13" s="34">
        <f t="shared" si="1"/>
        <v>0.2</v>
      </c>
      <c r="O13" s="21">
        <f>L13/L18</f>
        <v>0.20634920634920634</v>
      </c>
      <c r="P13" s="21">
        <f>M13/M18</f>
        <v>0.15625</v>
      </c>
    </row>
    <row r="14" spans="1:16" x14ac:dyDescent="0.3">
      <c r="A14" s="28"/>
      <c r="B14" s="29"/>
      <c r="C14" s="28"/>
      <c r="D14" s="28"/>
      <c r="E14" s="28"/>
      <c r="F14" s="33"/>
      <c r="G14" s="31"/>
      <c r="H14" s="31"/>
      <c r="I14" s="11" t="s">
        <v>60</v>
      </c>
      <c r="J14" s="13" t="s">
        <v>41</v>
      </c>
      <c r="K14" s="11">
        <v>1935</v>
      </c>
      <c r="L14" s="11">
        <v>10</v>
      </c>
      <c r="M14" s="11">
        <v>4</v>
      </c>
      <c r="N14" s="34">
        <f t="shared" ref="N14" si="4">(M14+L14)/90</f>
        <v>0.15555555555555556</v>
      </c>
      <c r="O14" s="21">
        <f>L14/L18</f>
        <v>0.15873015873015872</v>
      </c>
      <c r="P14" s="21">
        <f>M14/M18</f>
        <v>0.125</v>
      </c>
    </row>
    <row r="15" spans="1:16" x14ac:dyDescent="0.3">
      <c r="A15" s="11"/>
      <c r="B15" s="11"/>
      <c r="C15" s="11"/>
      <c r="D15" s="11"/>
      <c r="E15" s="11"/>
      <c r="F15" s="11"/>
      <c r="G15" s="11"/>
      <c r="H15" s="11"/>
      <c r="I15" s="28"/>
      <c r="J15" s="29"/>
      <c r="K15" s="28"/>
      <c r="L15" s="28"/>
      <c r="M15" s="28"/>
      <c r="N15" s="30"/>
      <c r="O15" s="31"/>
      <c r="P15" s="31"/>
    </row>
    <row r="16" spans="1:16" x14ac:dyDescent="0.3">
      <c r="A16" s="11" t="s">
        <v>126</v>
      </c>
      <c r="B16" s="11"/>
      <c r="C16" s="11"/>
      <c r="D16" s="11">
        <v>12</v>
      </c>
      <c r="E16" s="11">
        <v>27</v>
      </c>
      <c r="F16" s="11"/>
      <c r="G16" s="25"/>
      <c r="H16" s="25"/>
      <c r="I16" s="11" t="s">
        <v>126</v>
      </c>
      <c r="J16" s="11"/>
      <c r="K16" s="11"/>
      <c r="L16" s="11">
        <v>7</v>
      </c>
      <c r="M16" s="11">
        <v>13</v>
      </c>
      <c r="N16" s="11"/>
      <c r="O16" s="11"/>
      <c r="P16" s="11"/>
    </row>
    <row r="17" spans="1:16" x14ac:dyDescent="0.3">
      <c r="A17" s="11" t="s">
        <v>127</v>
      </c>
      <c r="B17" s="11"/>
      <c r="C17" s="11"/>
      <c r="D17" s="11">
        <v>21</v>
      </c>
      <c r="E17" s="11">
        <v>15</v>
      </c>
      <c r="F17" s="11"/>
      <c r="G17" s="11"/>
      <c r="H17" s="11"/>
      <c r="I17" s="11" t="s">
        <v>127</v>
      </c>
      <c r="J17" s="11"/>
      <c r="K17" s="11"/>
      <c r="L17" s="11">
        <v>15</v>
      </c>
      <c r="M17" s="11">
        <v>20</v>
      </c>
      <c r="N17" s="11"/>
      <c r="O17" s="11"/>
      <c r="P17" s="11"/>
    </row>
    <row r="18" spans="1:16" x14ac:dyDescent="0.3">
      <c r="A18" s="11" t="s">
        <v>128</v>
      </c>
      <c r="B18" s="11"/>
      <c r="C18" s="11"/>
      <c r="D18" s="11">
        <v>50</v>
      </c>
      <c r="E18" s="11">
        <v>26</v>
      </c>
      <c r="F18" s="11"/>
      <c r="G18" s="11"/>
      <c r="H18" s="11"/>
      <c r="I18" s="11" t="s">
        <v>128</v>
      </c>
      <c r="J18" s="11"/>
      <c r="K18" s="11"/>
      <c r="L18" s="11">
        <v>63</v>
      </c>
      <c r="M18" s="11">
        <v>32</v>
      </c>
      <c r="N18" s="11"/>
      <c r="O18" s="11"/>
      <c r="P18" s="11"/>
    </row>
  </sheetData>
  <mergeCells count="3">
    <mergeCell ref="A1:P1"/>
    <mergeCell ref="A2:H2"/>
    <mergeCell ref="I2:P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2018-19</vt:lpstr>
      <vt:lpstr>2019-20</vt:lpstr>
      <vt:lpstr>2023-24</vt:lpstr>
      <vt:lpstr>2024-25</vt:lpstr>
      <vt:lpstr>18-19 v 19-20</vt:lpstr>
      <vt:lpstr>23-24 v 24-25</vt:lpstr>
      <vt:lpstr>18-19 v 23-24</vt:lpstr>
      <vt:lpstr>19-20 v 24-25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sanyam jain</dc:creator>
  <cp:lastModifiedBy>sanyam jain</cp:lastModifiedBy>
  <dcterms:created xsi:type="dcterms:W3CDTF">2026-01-16T11:24:59Z</dcterms:created>
  <dcterms:modified xsi:type="dcterms:W3CDTF">2026-04-15T19:03:17Z</dcterms:modified>
</cp:coreProperties>
</file>