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1ce1ef5655920d6e/Desktop/college YJ/"/>
    </mc:Choice>
  </mc:AlternateContent>
  <xr:revisionPtr revIDLastSave="0" documentId="8_{BFB4C798-E074-4944-BFF5-F82744869A5D}" xr6:coauthVersionLast="47" xr6:coauthVersionMax="47" xr10:uidLastSave="{00000000-0000-0000-0000-000000000000}"/>
  <bookViews>
    <workbookView xWindow="-108" yWindow="-108" windowWidth="23256" windowHeight="12456" xr2:uid="{D2670F3B-30AF-4639-B3F4-FA1CD449D719}"/>
  </bookViews>
  <sheets>
    <sheet name="Flatsheet" sheetId="1" r:id="rId1"/>
    <sheet name="Pivot" sheetId="3" r:id="rId2"/>
  </sheets>
  <calcPr calcId="191029"/>
  <pivotCaches>
    <pivotCache cacheId="0" r:id="rId3"/>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6" i="1" l="1"/>
  <c r="R7" i="1"/>
  <c r="R8" i="1"/>
  <c r="R9" i="1"/>
  <c r="R10" i="1"/>
  <c r="R11" i="1"/>
  <c r="R12" i="1"/>
  <c r="R13" i="1"/>
  <c r="R14" i="1"/>
  <c r="R15" i="1"/>
  <c r="R16" i="1"/>
  <c r="R17" i="1"/>
  <c r="R18" i="1"/>
  <c r="R19" i="1"/>
  <c r="R20" i="1"/>
  <c r="R21" i="1"/>
  <c r="R22" i="1"/>
  <c r="R23" i="1"/>
  <c r="R24" i="1"/>
  <c r="R25" i="1"/>
  <c r="H29" i="1"/>
  <c r="V20" i="1" s="1"/>
  <c r="I29" i="1"/>
  <c r="W23" i="1" s="1"/>
  <c r="L29" i="1"/>
  <c r="M29" i="1"/>
  <c r="N29" i="1"/>
  <c r="O29" i="1"/>
  <c r="G29" i="1"/>
  <c r="U22" i="1" s="1"/>
  <c r="H28" i="1"/>
  <c r="V14" i="1" s="1"/>
  <c r="I28" i="1"/>
  <c r="W13" i="1" s="1"/>
  <c r="L28" i="1"/>
  <c r="M28" i="1"/>
  <c r="N28" i="1"/>
  <c r="O28" i="1"/>
  <c r="G28" i="1"/>
  <c r="U17" i="1" s="1"/>
  <c r="I27" i="1"/>
  <c r="W12" i="1" s="1"/>
  <c r="L27" i="1"/>
  <c r="M27" i="1"/>
  <c r="N27" i="1"/>
  <c r="O27" i="1"/>
  <c r="H27" i="1"/>
  <c r="V10" i="1" s="1"/>
  <c r="G27" i="1"/>
  <c r="U12" i="1" s="1"/>
  <c r="Q14" i="1"/>
  <c r="Q6" i="1"/>
  <c r="Q7" i="1"/>
  <c r="Q8" i="1"/>
  <c r="Q9" i="1"/>
  <c r="Q10" i="1"/>
  <c r="Q11" i="1"/>
  <c r="Q12" i="1"/>
  <c r="Q13" i="1"/>
  <c r="Q15" i="1"/>
  <c r="Q16" i="1"/>
  <c r="Q17" i="1"/>
  <c r="Q18" i="1"/>
  <c r="Q19" i="1"/>
  <c r="Q20" i="1"/>
  <c r="Q21" i="1"/>
  <c r="Q22" i="1"/>
  <c r="Q23" i="1"/>
  <c r="Q24" i="1"/>
  <c r="Q25" i="1"/>
  <c r="P6" i="1"/>
  <c r="P7" i="1"/>
  <c r="P8" i="1"/>
  <c r="P9" i="1"/>
  <c r="P10" i="1"/>
  <c r="P11" i="1"/>
  <c r="P12" i="1"/>
  <c r="P13" i="1"/>
  <c r="P14" i="1"/>
  <c r="P15" i="1"/>
  <c r="P16" i="1"/>
  <c r="P17" i="1"/>
  <c r="P18" i="1"/>
  <c r="P19" i="1"/>
  <c r="P20" i="1"/>
  <c r="P21" i="1"/>
  <c r="P22" i="1"/>
  <c r="P23" i="1"/>
  <c r="P24" i="1"/>
  <c r="P25" i="1"/>
  <c r="K25" i="1"/>
  <c r="S25" i="1" s="1"/>
  <c r="J25" i="1"/>
  <c r="K15" i="1"/>
  <c r="J15" i="1"/>
  <c r="T15" i="1" s="1"/>
  <c r="J11" i="1"/>
  <c r="T11" i="1" s="1"/>
  <c r="K11" i="1"/>
  <c r="K7" i="1"/>
  <c r="S7" i="1" s="1"/>
  <c r="K8" i="1"/>
  <c r="S8" i="1" s="1"/>
  <c r="K9" i="1"/>
  <c r="S9" i="1" s="1"/>
  <c r="K10" i="1"/>
  <c r="K12" i="1"/>
  <c r="K13" i="1"/>
  <c r="K14" i="1"/>
  <c r="K16" i="1"/>
  <c r="S16" i="1" s="1"/>
  <c r="K17" i="1"/>
  <c r="K18" i="1"/>
  <c r="S18" i="1" s="1"/>
  <c r="K19" i="1"/>
  <c r="K20" i="1"/>
  <c r="S20" i="1" s="1"/>
  <c r="K21" i="1"/>
  <c r="K22" i="1"/>
  <c r="S22" i="1" s="1"/>
  <c r="K23" i="1"/>
  <c r="K24" i="1"/>
  <c r="K6" i="1"/>
  <c r="J7" i="1"/>
  <c r="T7" i="1" s="1"/>
  <c r="J8" i="1"/>
  <c r="T8" i="1" s="1"/>
  <c r="J9" i="1"/>
  <c r="J10" i="1"/>
  <c r="T10" i="1" s="1"/>
  <c r="J12" i="1"/>
  <c r="T12" i="1" s="1"/>
  <c r="J13" i="1"/>
  <c r="T13" i="1" s="1"/>
  <c r="J14" i="1"/>
  <c r="J16" i="1"/>
  <c r="J17" i="1"/>
  <c r="J18" i="1"/>
  <c r="T18" i="1" s="1"/>
  <c r="J19" i="1"/>
  <c r="J20" i="1"/>
  <c r="J21" i="1"/>
  <c r="J22" i="1"/>
  <c r="T22" i="1" s="1"/>
  <c r="J23" i="1"/>
  <c r="T23" i="1" s="1"/>
  <c r="J24" i="1"/>
  <c r="T24" i="1" s="1"/>
  <c r="J6" i="1"/>
  <c r="V13" i="1" l="1"/>
  <c r="V9" i="1"/>
  <c r="W10" i="1"/>
  <c r="W18" i="1"/>
  <c r="T17" i="1"/>
  <c r="T16" i="1"/>
  <c r="S17" i="1"/>
  <c r="V8" i="1"/>
  <c r="T14" i="1"/>
  <c r="S24" i="1"/>
  <c r="S11" i="1"/>
  <c r="V7" i="1"/>
  <c r="W17" i="1"/>
  <c r="W16" i="1"/>
  <c r="W15" i="1"/>
  <c r="S23" i="1"/>
  <c r="S14" i="1"/>
  <c r="T21" i="1"/>
  <c r="T20" i="1"/>
  <c r="S21" i="1"/>
  <c r="S12" i="1"/>
  <c r="S15" i="1"/>
  <c r="U11" i="1"/>
  <c r="V25" i="1"/>
  <c r="W22" i="1"/>
  <c r="V19" i="1"/>
  <c r="T19" i="1"/>
  <c r="T9" i="1"/>
  <c r="S10" i="1"/>
  <c r="T25" i="1"/>
  <c r="U21" i="1"/>
  <c r="V24" i="1"/>
  <c r="W21" i="1"/>
  <c r="U20" i="1"/>
  <c r="W11" i="1"/>
  <c r="W20" i="1"/>
  <c r="U9" i="1"/>
  <c r="U14" i="1"/>
  <c r="V6" i="1"/>
  <c r="V18" i="1"/>
  <c r="V23" i="1"/>
  <c r="W9" i="1"/>
  <c r="W14" i="1"/>
  <c r="U10" i="1"/>
  <c r="U8" i="1"/>
  <c r="U19" i="1"/>
  <c r="V12" i="1"/>
  <c r="V17" i="1"/>
  <c r="V22" i="1"/>
  <c r="W8" i="1"/>
  <c r="W19" i="1"/>
  <c r="U16" i="1"/>
  <c r="U15" i="1"/>
  <c r="U7" i="1"/>
  <c r="U25" i="1"/>
  <c r="V11" i="1"/>
  <c r="V16" i="1"/>
  <c r="V21" i="1"/>
  <c r="W7" i="1"/>
  <c r="W25" i="1"/>
  <c r="U13" i="1"/>
  <c r="U24" i="1"/>
  <c r="V15" i="1"/>
  <c r="W24" i="1"/>
  <c r="U6" i="1"/>
  <c r="U18" i="1"/>
  <c r="U23" i="1"/>
  <c r="W6" i="1"/>
  <c r="K28" i="1"/>
  <c r="K29" i="1"/>
  <c r="J27" i="1"/>
  <c r="K27" i="1"/>
  <c r="J29" i="1"/>
  <c r="J28" i="1"/>
  <c r="S6" i="1"/>
  <c r="S13" i="1"/>
  <c r="S19" i="1"/>
  <c r="T6" i="1"/>
</calcChain>
</file>

<file path=xl/sharedStrings.xml><?xml version="1.0" encoding="utf-8"?>
<sst xmlns="http://schemas.openxmlformats.org/spreadsheetml/2006/main" count="170" uniqueCount="59">
  <si>
    <t>Mohamed Salah</t>
  </si>
  <si>
    <t>Attack</t>
  </si>
  <si>
    <t>FW</t>
  </si>
  <si>
    <t>Roberto Firmino</t>
  </si>
  <si>
    <t>2023-24</t>
  </si>
  <si>
    <t>Luis Diaz</t>
  </si>
  <si>
    <t>Cody Gakpo</t>
  </si>
  <si>
    <t>FW, MF</t>
  </si>
  <si>
    <t>Diogo Jota</t>
  </si>
  <si>
    <t>Darwin Nunez</t>
  </si>
  <si>
    <t>2024-25</t>
  </si>
  <si>
    <t>Federico Chiesa</t>
  </si>
  <si>
    <t>2022-23</t>
  </si>
  <si>
    <t>Season</t>
  </si>
  <si>
    <t>Player</t>
  </si>
  <si>
    <t>Department</t>
  </si>
  <si>
    <t>Position</t>
  </si>
  <si>
    <t>MP</t>
  </si>
  <si>
    <t>Starts</t>
  </si>
  <si>
    <t>Minutes</t>
  </si>
  <si>
    <t>G</t>
  </si>
  <si>
    <t>A</t>
  </si>
  <si>
    <t>G+A</t>
  </si>
  <si>
    <t>G-PK</t>
  </si>
  <si>
    <t>PK</t>
  </si>
  <si>
    <t>PKAtt.</t>
  </si>
  <si>
    <t>Crd(Y)</t>
  </si>
  <si>
    <t>Crd(R)</t>
  </si>
  <si>
    <t>Alex Oxlade-Chamberlain</t>
  </si>
  <si>
    <t>Jayden Danns</t>
  </si>
  <si>
    <t>This project does not analyze or comment based on Darwin's price tag, rather, it sees how often he was on the pitch for Liverpool and how much he contributed during those minutes, compared to his peers. The seasons analysed here are 2022/23, 2023/24 and 2024/25. Hybrid Forwards have been excluded here to keep the comparison exclusive to attacker (Core Forwards).</t>
  </si>
  <si>
    <t>G/90</t>
  </si>
  <si>
    <t>A/90</t>
  </si>
  <si>
    <t>G-PK/90</t>
  </si>
  <si>
    <t>Minutes/G+A</t>
  </si>
  <si>
    <t>Total</t>
  </si>
  <si>
    <t>Minutes Share</t>
  </si>
  <si>
    <t>✨ WAS DARWIN NUNEZ AS INEFFICIENT AS SAID AT LIVERPOOL - AN ANALYSIS ✨</t>
  </si>
  <si>
    <t>Goals Share</t>
  </si>
  <si>
    <t>Assists Share</t>
  </si>
  <si>
    <t>Row Labels</t>
  </si>
  <si>
    <t>Grand Total</t>
  </si>
  <si>
    <t>Column Labels</t>
  </si>
  <si>
    <t>Total Sum of G-PK</t>
  </si>
  <si>
    <t>Sum of G-PK</t>
  </si>
  <si>
    <t>Sum of G+A</t>
  </si>
  <si>
    <t>Total Sum of G+A</t>
  </si>
  <si>
    <t>Total Sum of Minutes</t>
  </si>
  <si>
    <t>Sum of Minutes</t>
  </si>
  <si>
    <t>G+A/90</t>
  </si>
  <si>
    <t>Total Average of G+A/90</t>
  </si>
  <si>
    <t>Average of G+A/90</t>
  </si>
  <si>
    <t>Sum of Minutes Share</t>
  </si>
  <si>
    <t>Total Sum of Minutes Share</t>
  </si>
  <si>
    <t>Total Sum of Goals Share</t>
  </si>
  <si>
    <t>Sum of Goals Share</t>
  </si>
  <si>
    <t>Total Sum of Assists Share</t>
  </si>
  <si>
    <t>Sum of Assists Share</t>
  </si>
  <si>
    <t>The above analysis compares Sum of Minutes, Sum of G+A, Sum of G-PK, and average of G+A/90 of Liverpool attackers across seasons 2022-23, 2023-24 and 2024-25. The highlighted red cells show players performing above the category average per season. According to this filter, Darwin Nunez has been a well used player in 2022-23 and 2023-24, and trusted by the manager. However, his minutes drop in 2024-25, showing that he used as a rotational player rather than a starter. In the seasons where he has been given above average minutes, Darwin has provided above average G+A numbers too (and Above Average G+A/90). Hence it will be very unfair to say that Darwin didn't contribute when he was on the pitch. Yes, he sometimes missed very easy chances, and sometimes ended up scoring very difficult ones, but numbers prove he wasn't as inefficient as framed. The pivot table below also backs this up, as during 2022-23 &amp; 2023-24, Darwin had above average shares in minutes, goals and assists (except assists in 2022-23).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</si>
</sst>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sz val="11"/>
      <color theme="1"/>
      <name val="Calibri"/>
      <family val="2"/>
      <scheme val="minor"/>
    </font>
    <font>
      <sz val="12"/>
      <color theme="1"/>
      <name val="Aptos"/>
      <family val="2"/>
    </font>
    <font>
      <sz val="8"/>
      <name val="Calibri"/>
      <family val="2"/>
      <scheme val="minor"/>
    </font>
    <font>
      <b/>
      <sz val="12"/>
      <color theme="1"/>
      <name val="Aptos"/>
      <family val="2"/>
    </font>
    <font>
      <sz val="11"/>
      <color theme="1"/>
      <name val="Aptos"/>
      <family val="2"/>
    </font>
  </fonts>
  <fills count="5">
    <fill>
      <patternFill patternType="none"/>
    </fill>
    <fill>
      <patternFill patternType="gray125"/>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0" fontId="2" fillId="0" borderId="0" xfId="0" applyFont="1"/>
    <xf numFmtId="0" fontId="2" fillId="0" borderId="0" xfId="0" applyFont="1" applyAlignment="1">
      <alignment horizontal="center"/>
    </xf>
    <xf numFmtId="0" fontId="2" fillId="0" borderId="0" xfId="0" applyFont="1" applyAlignment="1">
      <alignment horizontal="right"/>
    </xf>
    <xf numFmtId="0" fontId="4" fillId="0" borderId="0" xfId="0" applyFont="1" applyAlignment="1">
      <alignment horizontal="center"/>
    </xf>
    <xf numFmtId="0" fontId="2" fillId="2" borderId="0" xfId="0" applyFont="1" applyFill="1" applyAlignment="1">
      <alignment horizontal="center"/>
    </xf>
    <xf numFmtId="0" fontId="2" fillId="2" borderId="0" xfId="0" applyFont="1" applyFill="1"/>
    <xf numFmtId="0" fontId="2" fillId="2" borderId="0" xfId="0" applyFont="1" applyFill="1" applyAlignment="1">
      <alignment horizontal="right"/>
    </xf>
    <xf numFmtId="164" fontId="2" fillId="2" borderId="0" xfId="0" applyNumberFormat="1" applyFont="1" applyFill="1"/>
    <xf numFmtId="10" fontId="2" fillId="2" borderId="0" xfId="1" applyNumberFormat="1" applyFont="1" applyFill="1"/>
    <xf numFmtId="0" fontId="2" fillId="3" borderId="0" xfId="0" applyFont="1" applyFill="1" applyAlignment="1">
      <alignment horizontal="center"/>
    </xf>
    <xf numFmtId="0" fontId="2" fillId="3" borderId="0" xfId="0" applyFont="1" applyFill="1"/>
    <xf numFmtId="0" fontId="2" fillId="3" borderId="0" xfId="0" applyFont="1" applyFill="1" applyAlignment="1">
      <alignment horizontal="right"/>
    </xf>
    <xf numFmtId="164" fontId="2" fillId="3" borderId="0" xfId="0" applyNumberFormat="1" applyFont="1" applyFill="1"/>
    <xf numFmtId="10" fontId="2" fillId="3" borderId="0" xfId="1" applyNumberFormat="1" applyFont="1" applyFill="1"/>
    <xf numFmtId="0" fontId="2" fillId="4" borderId="0" xfId="0" applyFont="1" applyFill="1" applyAlignment="1">
      <alignment horizontal="center"/>
    </xf>
    <xf numFmtId="0" fontId="2" fillId="4" borderId="0" xfId="0" applyFont="1" applyFill="1"/>
    <xf numFmtId="0" fontId="2" fillId="4" borderId="0" xfId="0" applyFont="1" applyFill="1" applyAlignment="1">
      <alignment horizontal="right"/>
    </xf>
    <xf numFmtId="164" fontId="2" fillId="4" borderId="0" xfId="0" applyNumberFormat="1" applyFont="1" applyFill="1"/>
    <xf numFmtId="10" fontId="2" fillId="4" borderId="0" xfId="1" applyNumberFormat="1" applyFont="1" applyFill="1"/>
    <xf numFmtId="0" fontId="4" fillId="0" borderId="0" xfId="0" applyFont="1"/>
    <xf numFmtId="0" fontId="5" fillId="0" borderId="0" xfId="0" applyFont="1"/>
    <xf numFmtId="0" fontId="5" fillId="0" borderId="0" xfId="0" pivotButton="1" applyFont="1"/>
    <xf numFmtId="0" fontId="5" fillId="0" borderId="2" xfId="0" applyFont="1" applyBorder="1"/>
    <xf numFmtId="0" fontId="5" fillId="0" borderId="3" xfId="0" applyFont="1" applyBorder="1"/>
    <xf numFmtId="0" fontId="5" fillId="0" borderId="4" xfId="0" applyFont="1" applyBorder="1"/>
    <xf numFmtId="0" fontId="5" fillId="0" borderId="6" xfId="0" applyFont="1" applyBorder="1"/>
    <xf numFmtId="0" fontId="5" fillId="0" borderId="5" xfId="0" applyFont="1" applyBorder="1"/>
    <xf numFmtId="0" fontId="5" fillId="0" borderId="7" xfId="0" applyFont="1" applyBorder="1"/>
    <xf numFmtId="0" fontId="5" fillId="0" borderId="1" xfId="0" applyFont="1" applyBorder="1"/>
    <xf numFmtId="0" fontId="5" fillId="0" borderId="1" xfId="0" applyFont="1" applyBorder="1" applyAlignment="1">
      <alignment horizontal="left"/>
    </xf>
    <xf numFmtId="164" fontId="5" fillId="0" borderId="1" xfId="0" applyNumberFormat="1" applyFont="1" applyBorder="1"/>
    <xf numFmtId="0" fontId="5" fillId="0" borderId="0" xfId="0" applyFont="1" applyAlignment="1">
      <alignment horizontal="left"/>
    </xf>
    <xf numFmtId="164" fontId="5" fillId="0" borderId="0" xfId="0" applyNumberFormat="1" applyFont="1"/>
    <xf numFmtId="0" fontId="5" fillId="0" borderId="8" xfId="0" pivotButton="1" applyFont="1" applyBorder="1"/>
    <xf numFmtId="0" fontId="5" fillId="0" borderId="8" xfId="0" applyFont="1" applyBorder="1"/>
    <xf numFmtId="10" fontId="5" fillId="0" borderId="1" xfId="0" applyNumberFormat="1" applyFont="1" applyBorder="1"/>
    <xf numFmtId="0" fontId="2" fillId="0" borderId="0" xfId="0" applyFont="1" applyAlignment="1">
      <alignment horizontal="center" wrapText="1"/>
    </xf>
  </cellXfs>
  <cellStyles count="2">
    <cellStyle name="Normal" xfId="0" builtinId="0"/>
    <cellStyle name="Percent" xfId="1" builtinId="5"/>
  </cellStyles>
  <dxfs count="137">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border>
        <left style="thin">
          <color rgb="FF9C0006"/>
        </left>
        <right style="thin">
          <color rgb="FF9C0006"/>
        </right>
        <top style="thin">
          <color rgb="FF9C0006"/>
        </top>
        <bottom style="thin">
          <color rgb="FF9C0006"/>
        </bottom>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theme="1"/>
        <name val="Aptos"/>
        <family val="2"/>
        <scheme val="none"/>
      </font>
      <numFmt numFmtId="164" formatCode="0.000"/>
      <fill>
        <patternFill patternType="solid">
          <fgColor indexed="64"/>
          <bgColor theme="9" tint="0.59999389629810485"/>
        </patternFill>
      </fill>
    </dxf>
    <dxf>
      <font>
        <b val="0"/>
        <i val="0"/>
        <strike val="0"/>
        <condense val="0"/>
        <extend val="0"/>
        <outline val="0"/>
        <shadow val="0"/>
        <u val="none"/>
        <vertAlign val="baseline"/>
        <sz val="12"/>
        <color theme="1"/>
        <name val="Aptos"/>
        <family val="2"/>
        <scheme val="none"/>
      </font>
      <numFmt numFmtId="164" formatCode="0.000"/>
      <fill>
        <patternFill patternType="solid">
          <fgColor indexed="64"/>
          <bgColor theme="9" tint="0.59999389629810485"/>
        </patternFill>
      </fill>
    </dxf>
    <dxf>
      <font>
        <b val="0"/>
        <i val="0"/>
        <strike val="0"/>
        <condense val="0"/>
        <extend val="0"/>
        <outline val="0"/>
        <shadow val="0"/>
        <u val="none"/>
        <vertAlign val="baseline"/>
        <sz val="12"/>
        <color theme="1"/>
        <name val="Aptos"/>
        <family val="2"/>
        <scheme val="none"/>
      </font>
      <numFmt numFmtId="164" formatCode="0.000"/>
      <fill>
        <patternFill patternType="solid">
          <fgColor indexed="64"/>
          <bgColor theme="9" tint="0.59999389629810485"/>
        </patternFill>
      </fill>
    </dxf>
    <dxf>
      <font>
        <b val="0"/>
        <i val="0"/>
        <strike val="0"/>
        <condense val="0"/>
        <extend val="0"/>
        <outline val="0"/>
        <shadow val="0"/>
        <u val="none"/>
        <vertAlign val="baseline"/>
        <sz val="12"/>
        <color theme="1"/>
        <name val="Aptos"/>
        <family val="2"/>
        <scheme val="none"/>
      </font>
      <numFmt numFmtId="164" formatCode="0.000"/>
      <fill>
        <patternFill patternType="solid">
          <fgColor indexed="64"/>
          <bgColor theme="9" tint="0.59999389629810485"/>
        </patternFill>
      </fill>
    </dxf>
    <dxf>
      <font>
        <b val="0"/>
        <i val="0"/>
        <strike val="0"/>
        <condense val="0"/>
        <extend val="0"/>
        <outline val="0"/>
        <shadow val="0"/>
        <u val="none"/>
        <vertAlign val="baseline"/>
        <sz val="12"/>
        <color theme="1"/>
        <name val="Aptos"/>
        <family val="2"/>
        <scheme val="none"/>
      </font>
      <numFmt numFmtId="164" formatCode="0.000"/>
      <fill>
        <patternFill patternType="solid">
          <fgColor indexed="64"/>
          <bgColor theme="9" tint="0.59999389629810485"/>
        </patternFill>
      </fill>
    </dxf>
    <dxf>
      <font>
        <b val="0"/>
        <i val="0"/>
        <strike val="0"/>
        <condense val="0"/>
        <extend val="0"/>
        <outline val="0"/>
        <shadow val="0"/>
        <u val="none"/>
        <vertAlign val="baseline"/>
        <sz val="12"/>
        <color theme="1"/>
        <name val="Aptos"/>
        <family val="2"/>
        <scheme val="none"/>
      </font>
      <fill>
        <patternFill patternType="solid">
          <fgColor indexed="64"/>
          <bgColor theme="9" tint="0.59999389629810485"/>
        </patternFill>
      </fill>
    </dxf>
    <dxf>
      <font>
        <b val="0"/>
        <i val="0"/>
        <strike val="0"/>
        <condense val="0"/>
        <extend val="0"/>
        <outline val="0"/>
        <shadow val="0"/>
        <u val="none"/>
        <vertAlign val="baseline"/>
        <sz val="12"/>
        <color theme="1"/>
        <name val="Aptos"/>
        <family val="2"/>
        <scheme val="none"/>
      </font>
      <fill>
        <patternFill patternType="solid">
          <fgColor indexed="64"/>
          <bgColor theme="9" tint="0.59999389629810485"/>
        </patternFill>
      </fill>
    </dxf>
    <dxf>
      <font>
        <b val="0"/>
        <i val="0"/>
        <strike val="0"/>
        <condense val="0"/>
        <extend val="0"/>
        <outline val="0"/>
        <shadow val="0"/>
        <u val="none"/>
        <vertAlign val="baseline"/>
        <sz val="12"/>
        <color theme="1"/>
        <name val="Aptos"/>
        <family val="2"/>
        <scheme val="none"/>
      </font>
      <fill>
        <patternFill patternType="solid">
          <fgColor indexed="64"/>
          <bgColor theme="9" tint="0.59999389629810485"/>
        </patternFill>
      </fill>
    </dxf>
    <dxf>
      <font>
        <b val="0"/>
        <i val="0"/>
        <strike val="0"/>
        <condense val="0"/>
        <extend val="0"/>
        <outline val="0"/>
        <shadow val="0"/>
        <u val="none"/>
        <vertAlign val="baseline"/>
        <sz val="12"/>
        <color theme="1"/>
        <name val="Aptos"/>
        <family val="2"/>
        <scheme val="none"/>
      </font>
      <fill>
        <patternFill patternType="solid">
          <fgColor indexed="64"/>
          <bgColor theme="9" tint="0.59999389629810485"/>
        </patternFill>
      </fill>
    </dxf>
    <dxf>
      <font>
        <b val="0"/>
        <i val="0"/>
        <strike val="0"/>
        <condense val="0"/>
        <extend val="0"/>
        <outline val="0"/>
        <shadow val="0"/>
        <u val="none"/>
        <vertAlign val="baseline"/>
        <sz val="12"/>
        <color theme="1"/>
        <name val="Aptos"/>
        <family val="2"/>
        <scheme val="none"/>
      </font>
      <fill>
        <patternFill patternType="solid">
          <fgColor indexed="64"/>
          <bgColor theme="9" tint="0.59999389629810485"/>
        </patternFill>
      </fill>
    </dxf>
    <dxf>
      <font>
        <b val="0"/>
        <i val="0"/>
        <strike val="0"/>
        <condense val="0"/>
        <extend val="0"/>
        <outline val="0"/>
        <shadow val="0"/>
        <u val="none"/>
        <vertAlign val="baseline"/>
        <sz val="12"/>
        <color theme="1"/>
        <name val="Aptos"/>
        <family val="2"/>
        <scheme val="none"/>
      </font>
      <fill>
        <patternFill patternType="solid">
          <fgColor indexed="64"/>
          <bgColor theme="9" tint="0.59999389629810485"/>
        </patternFill>
      </fill>
    </dxf>
    <dxf>
      <font>
        <b val="0"/>
        <i val="0"/>
        <strike val="0"/>
        <condense val="0"/>
        <extend val="0"/>
        <outline val="0"/>
        <shadow val="0"/>
        <u val="none"/>
        <vertAlign val="baseline"/>
        <sz val="12"/>
        <color theme="1"/>
        <name val="Aptos"/>
        <family val="2"/>
        <scheme val="none"/>
      </font>
      <fill>
        <patternFill patternType="solid">
          <fgColor indexed="64"/>
          <bgColor theme="9" tint="0.59999389629810485"/>
        </patternFill>
      </fill>
    </dxf>
    <dxf>
      <font>
        <b val="0"/>
        <i val="0"/>
        <strike val="0"/>
        <condense val="0"/>
        <extend val="0"/>
        <outline val="0"/>
        <shadow val="0"/>
        <u val="none"/>
        <vertAlign val="baseline"/>
        <sz val="12"/>
        <color theme="1"/>
        <name val="Aptos"/>
        <family val="2"/>
        <scheme val="none"/>
      </font>
      <fill>
        <patternFill patternType="solid">
          <fgColor indexed="64"/>
          <bgColor theme="9" tint="0.59999389629810485"/>
        </patternFill>
      </fill>
    </dxf>
    <dxf>
      <font>
        <b val="0"/>
        <i val="0"/>
        <strike val="0"/>
        <condense val="0"/>
        <extend val="0"/>
        <outline val="0"/>
        <shadow val="0"/>
        <u val="none"/>
        <vertAlign val="baseline"/>
        <sz val="12"/>
        <color theme="1"/>
        <name val="Aptos"/>
        <family val="2"/>
        <scheme val="none"/>
      </font>
      <fill>
        <patternFill patternType="solid">
          <fgColor indexed="64"/>
          <bgColor theme="9" tint="0.59999389629810485"/>
        </patternFill>
      </fill>
    </dxf>
    <dxf>
      <font>
        <b val="0"/>
        <i val="0"/>
        <strike val="0"/>
        <condense val="0"/>
        <extend val="0"/>
        <outline val="0"/>
        <shadow val="0"/>
        <u val="none"/>
        <vertAlign val="baseline"/>
        <sz val="12"/>
        <color theme="1"/>
        <name val="Aptos"/>
        <family val="2"/>
        <scheme val="none"/>
      </font>
      <fill>
        <patternFill patternType="solid">
          <fgColor indexed="64"/>
          <bgColor theme="9" tint="0.59999389629810485"/>
        </patternFill>
      </fill>
    </dxf>
    <dxf>
      <font>
        <b val="0"/>
        <i val="0"/>
        <strike val="0"/>
        <condense val="0"/>
        <extend val="0"/>
        <outline val="0"/>
        <shadow val="0"/>
        <u val="none"/>
        <vertAlign val="baseline"/>
        <sz val="12"/>
        <color theme="1"/>
        <name val="Aptos"/>
        <family val="2"/>
        <scheme val="none"/>
      </font>
      <fill>
        <patternFill patternType="solid">
          <fgColor indexed="64"/>
          <bgColor theme="9" tint="0.5999938962981048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fill>
        <patternFill patternType="solid">
          <fgColor indexed="64"/>
          <bgColor theme="9" tint="0.5999938962981048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fill>
        <patternFill patternType="solid">
          <fgColor indexed="64"/>
          <bgColor theme="9" tint="0.5999938962981048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fill>
        <patternFill patternType="solid">
          <fgColor indexed="64"/>
          <bgColor theme="9" tint="0.59999389629810485"/>
        </patternFill>
      </fill>
    </dxf>
    <dxf>
      <font>
        <b val="0"/>
        <i val="0"/>
        <strike val="0"/>
        <condense val="0"/>
        <extend val="0"/>
        <outline val="0"/>
        <shadow val="0"/>
        <u val="none"/>
        <vertAlign val="baseline"/>
        <sz val="12"/>
        <color theme="1"/>
        <name val="Aptos"/>
        <family val="2"/>
        <scheme val="none"/>
      </font>
      <fill>
        <patternFill patternType="solid">
          <fgColor indexed="64"/>
          <bgColor theme="9" tint="0.5999938962981048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fill>
        <patternFill patternType="solid">
          <fgColor indexed="64"/>
          <bgColor theme="9" tint="0.59999389629810485"/>
        </patternFill>
      </fill>
    </dxf>
    <dxf>
      <font>
        <b/>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400"/>
              <a:t>Minutes,</a:t>
            </a:r>
            <a:r>
              <a:rPr lang="en-IN" sz="1400" baseline="0"/>
              <a:t> Goals &amp; Assists Share (22/23)</a:t>
            </a:r>
            <a:endParaRPr lang="en-IN" sz="140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Flatsheet!$U$5</c:f>
              <c:strCache>
                <c:ptCount val="1"/>
                <c:pt idx="0">
                  <c:v>Minutes Share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Flatsheet!$B$6:$B$12</c:f>
              <c:strCache>
                <c:ptCount val="7"/>
                <c:pt idx="0">
                  <c:v>Mohamed Salah</c:v>
                </c:pt>
                <c:pt idx="1">
                  <c:v>Alex Oxlade-Chamberlain</c:v>
                </c:pt>
                <c:pt idx="2">
                  <c:v>Roberto Firmino</c:v>
                </c:pt>
                <c:pt idx="3">
                  <c:v>Luis Diaz</c:v>
                </c:pt>
                <c:pt idx="4">
                  <c:v>Diogo Jota</c:v>
                </c:pt>
                <c:pt idx="5">
                  <c:v>Darwin Nunez</c:v>
                </c:pt>
                <c:pt idx="6">
                  <c:v>Cody Gakpo</c:v>
                </c:pt>
              </c:strCache>
            </c:strRef>
          </c:cat>
          <c:val>
            <c:numRef>
              <c:f>Flatsheet!$U$6:$U$12</c:f>
              <c:numCache>
                <c:formatCode>0.00%</c:formatCode>
                <c:ptCount val="7"/>
                <c:pt idx="0">
                  <c:v>0.31677614584102148</c:v>
                </c:pt>
                <c:pt idx="1">
                  <c:v>3.8748247103107238E-2</c:v>
                </c:pt>
                <c:pt idx="2">
                  <c:v>0.12864418038231604</c:v>
                </c:pt>
                <c:pt idx="3">
                  <c:v>9.9933574433537536E-2</c:v>
                </c:pt>
                <c:pt idx="4">
                  <c:v>0.10288582183186951</c:v>
                </c:pt>
                <c:pt idx="5">
                  <c:v>0.17661820060521072</c:v>
                </c:pt>
                <c:pt idx="6">
                  <c:v>0.13639382980293749</c:v>
                </c:pt>
              </c:numCache>
            </c:numRef>
          </c:val>
          <c:extLst>
            <c:ext xmlns:c16="http://schemas.microsoft.com/office/drawing/2014/chart" uri="{C3380CC4-5D6E-409C-BE32-E72D297353CC}">
              <c16:uniqueId val="{00000000-E4A4-48DB-B5BE-6AD9AEE486DB}"/>
            </c:ext>
          </c:extLst>
        </c:ser>
        <c:ser>
          <c:idx val="1"/>
          <c:order val="1"/>
          <c:tx>
            <c:strRef>
              <c:f>Flatsheet!$V$5</c:f>
              <c:strCache>
                <c:ptCount val="1"/>
                <c:pt idx="0">
                  <c:v>Goals Share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Flatsheet!$B$6:$B$12</c:f>
              <c:strCache>
                <c:ptCount val="7"/>
                <c:pt idx="0">
                  <c:v>Mohamed Salah</c:v>
                </c:pt>
                <c:pt idx="1">
                  <c:v>Alex Oxlade-Chamberlain</c:v>
                </c:pt>
                <c:pt idx="2">
                  <c:v>Roberto Firmino</c:v>
                </c:pt>
                <c:pt idx="3">
                  <c:v>Luis Diaz</c:v>
                </c:pt>
                <c:pt idx="4">
                  <c:v>Diogo Jota</c:v>
                </c:pt>
                <c:pt idx="5">
                  <c:v>Darwin Nunez</c:v>
                </c:pt>
                <c:pt idx="6">
                  <c:v>Cody Gakpo</c:v>
                </c:pt>
              </c:strCache>
            </c:strRef>
          </c:cat>
          <c:val>
            <c:numRef>
              <c:f>Flatsheet!$V$6:$V$12</c:f>
              <c:numCache>
                <c:formatCode>0.00%</c:formatCode>
                <c:ptCount val="7"/>
                <c:pt idx="0">
                  <c:v>0.38461538461538464</c:v>
                </c:pt>
                <c:pt idx="1">
                  <c:v>1.282051282051282E-2</c:v>
                </c:pt>
                <c:pt idx="2">
                  <c:v>0.16666666666666666</c:v>
                </c:pt>
                <c:pt idx="3">
                  <c:v>6.4102564102564097E-2</c:v>
                </c:pt>
                <c:pt idx="4">
                  <c:v>8.9743589743589744E-2</c:v>
                </c:pt>
                <c:pt idx="5">
                  <c:v>0.19230769230769232</c:v>
                </c:pt>
                <c:pt idx="6">
                  <c:v>8.9743589743589744E-2</c:v>
                </c:pt>
              </c:numCache>
            </c:numRef>
          </c:val>
          <c:extLst>
            <c:ext xmlns:c16="http://schemas.microsoft.com/office/drawing/2014/chart" uri="{C3380CC4-5D6E-409C-BE32-E72D297353CC}">
              <c16:uniqueId val="{00000001-E4A4-48DB-B5BE-6AD9AEE486DB}"/>
            </c:ext>
          </c:extLst>
        </c:ser>
        <c:ser>
          <c:idx val="2"/>
          <c:order val="2"/>
          <c:tx>
            <c:strRef>
              <c:f>Flatsheet!$W$5</c:f>
              <c:strCache>
                <c:ptCount val="1"/>
                <c:pt idx="0">
                  <c:v>Assists Share</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Flatsheet!$B$6:$B$12</c:f>
              <c:strCache>
                <c:ptCount val="7"/>
                <c:pt idx="0">
                  <c:v>Mohamed Salah</c:v>
                </c:pt>
                <c:pt idx="1">
                  <c:v>Alex Oxlade-Chamberlain</c:v>
                </c:pt>
                <c:pt idx="2">
                  <c:v>Roberto Firmino</c:v>
                </c:pt>
                <c:pt idx="3">
                  <c:v>Luis Diaz</c:v>
                </c:pt>
                <c:pt idx="4">
                  <c:v>Diogo Jota</c:v>
                </c:pt>
                <c:pt idx="5">
                  <c:v>Darwin Nunez</c:v>
                </c:pt>
                <c:pt idx="6">
                  <c:v>Cody Gakpo</c:v>
                </c:pt>
              </c:strCache>
            </c:strRef>
          </c:cat>
          <c:val>
            <c:numRef>
              <c:f>Flatsheet!$W$6:$W$12</c:f>
              <c:numCache>
                <c:formatCode>0.00%</c:formatCode>
                <c:ptCount val="7"/>
                <c:pt idx="0">
                  <c:v>0.42105263157894735</c:v>
                </c:pt>
                <c:pt idx="1">
                  <c:v>0</c:v>
                </c:pt>
                <c:pt idx="2">
                  <c:v>0.13157894736842105</c:v>
                </c:pt>
                <c:pt idx="3">
                  <c:v>5.2631578947368418E-2</c:v>
                </c:pt>
                <c:pt idx="4">
                  <c:v>0.21052631578947367</c:v>
                </c:pt>
                <c:pt idx="5">
                  <c:v>0.13157894736842105</c:v>
                </c:pt>
                <c:pt idx="6">
                  <c:v>5.2631578947368418E-2</c:v>
                </c:pt>
              </c:numCache>
            </c:numRef>
          </c:val>
          <c:extLst>
            <c:ext xmlns:c16="http://schemas.microsoft.com/office/drawing/2014/chart" uri="{C3380CC4-5D6E-409C-BE32-E72D297353CC}">
              <c16:uniqueId val="{00000002-E4A4-48DB-B5BE-6AD9AEE486DB}"/>
            </c:ext>
          </c:extLst>
        </c:ser>
        <c:dLbls>
          <c:dLblPos val="outEnd"/>
          <c:showLegendKey val="0"/>
          <c:showVal val="1"/>
          <c:showCatName val="0"/>
          <c:showSerName val="0"/>
          <c:showPercent val="0"/>
          <c:showBubbleSize val="0"/>
        </c:dLbls>
        <c:gapWidth val="444"/>
        <c:overlap val="-90"/>
        <c:axId val="1050532591"/>
        <c:axId val="1050533071"/>
      </c:barChart>
      <c:catAx>
        <c:axId val="1050532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cap="all" spc="120" normalizeH="0" baseline="0">
                <a:solidFill>
                  <a:schemeClr val="tx1">
                    <a:lumMod val="65000"/>
                    <a:lumOff val="35000"/>
                  </a:schemeClr>
                </a:solidFill>
                <a:latin typeface="+mn-lt"/>
                <a:ea typeface="+mn-ea"/>
                <a:cs typeface="+mn-cs"/>
              </a:defRPr>
            </a:pPr>
            <a:endParaRPr lang="en-US"/>
          </a:p>
        </c:txPr>
        <c:crossAx val="1050533071"/>
        <c:crosses val="autoZero"/>
        <c:auto val="1"/>
        <c:lblAlgn val="ctr"/>
        <c:lblOffset val="100"/>
        <c:noMultiLvlLbl val="0"/>
      </c:catAx>
      <c:valAx>
        <c:axId val="1050533071"/>
        <c:scaling>
          <c:orientation val="minMax"/>
        </c:scaling>
        <c:delete val="1"/>
        <c:axPos val="l"/>
        <c:numFmt formatCode="0.00%" sourceLinked="1"/>
        <c:majorTickMark val="none"/>
        <c:minorTickMark val="none"/>
        <c:tickLblPos val="nextTo"/>
        <c:crossAx val="10505325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400"/>
              <a:t>Minutes,</a:t>
            </a:r>
            <a:r>
              <a:rPr lang="en-IN" sz="1400" baseline="0"/>
              <a:t> Goals &amp; Assists Share (23/24)</a:t>
            </a:r>
            <a:endParaRPr lang="en-IN" sz="140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v>Minutes Share</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Flatsheet!$B$13:$B$18</c:f>
              <c:strCache>
                <c:ptCount val="6"/>
                <c:pt idx="0">
                  <c:v>Luis Diaz</c:v>
                </c:pt>
                <c:pt idx="1">
                  <c:v>Cody Gakpo</c:v>
                </c:pt>
                <c:pt idx="2">
                  <c:v>Jayden Danns</c:v>
                </c:pt>
                <c:pt idx="3">
                  <c:v>Diogo Jota</c:v>
                </c:pt>
                <c:pt idx="4">
                  <c:v>Darwin Nunez</c:v>
                </c:pt>
                <c:pt idx="5">
                  <c:v>Mohamed Salah</c:v>
                </c:pt>
              </c:strCache>
            </c:strRef>
          </c:cat>
          <c:val>
            <c:numRef>
              <c:f>Flatsheet!$U$13:$U$18</c:f>
              <c:numCache>
                <c:formatCode>0.00%</c:formatCode>
                <c:ptCount val="6"/>
                <c:pt idx="0">
                  <c:v>0.24684239428885227</c:v>
                </c:pt>
                <c:pt idx="1">
                  <c:v>0.20709774848984075</c:v>
                </c:pt>
                <c:pt idx="2">
                  <c:v>5.6974190005491488E-3</c:v>
                </c:pt>
                <c:pt idx="3">
                  <c:v>0.11744920373421197</c:v>
                </c:pt>
                <c:pt idx="4">
                  <c:v>0.20799011532125206</c:v>
                </c:pt>
                <c:pt idx="5">
                  <c:v>0.2149231191652938</c:v>
                </c:pt>
              </c:numCache>
            </c:numRef>
          </c:val>
          <c:extLst>
            <c:ext xmlns:c16="http://schemas.microsoft.com/office/drawing/2014/chart" uri="{C3380CC4-5D6E-409C-BE32-E72D297353CC}">
              <c16:uniqueId val="{00000000-4E2E-47EA-9F51-7AC0D9C93BC1}"/>
            </c:ext>
          </c:extLst>
        </c:ser>
        <c:ser>
          <c:idx val="1"/>
          <c:order val="1"/>
          <c:tx>
            <c:v>Goals Share</c:v>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Flatsheet!$B$13:$B$18</c:f>
              <c:strCache>
                <c:ptCount val="6"/>
                <c:pt idx="0">
                  <c:v>Luis Diaz</c:v>
                </c:pt>
                <c:pt idx="1">
                  <c:v>Cody Gakpo</c:v>
                </c:pt>
                <c:pt idx="2">
                  <c:v>Jayden Danns</c:v>
                </c:pt>
                <c:pt idx="3">
                  <c:v>Diogo Jota</c:v>
                </c:pt>
                <c:pt idx="4">
                  <c:v>Darwin Nunez</c:v>
                </c:pt>
                <c:pt idx="5">
                  <c:v>Mohamed Salah</c:v>
                </c:pt>
              </c:strCache>
            </c:strRef>
          </c:cat>
          <c:val>
            <c:numRef>
              <c:f>Flatsheet!$V$13:$V$18</c:f>
              <c:numCache>
                <c:formatCode>0.00%</c:formatCode>
                <c:ptCount val="6"/>
                <c:pt idx="0">
                  <c:v>0.14606741573033707</c:v>
                </c:pt>
                <c:pt idx="1">
                  <c:v>0.1797752808988764</c:v>
                </c:pt>
                <c:pt idx="2">
                  <c:v>2.247191011235955E-2</c:v>
                </c:pt>
                <c:pt idx="3">
                  <c:v>0.16853932584269662</c:v>
                </c:pt>
                <c:pt idx="4">
                  <c:v>0.20224719101123595</c:v>
                </c:pt>
                <c:pt idx="5">
                  <c:v>0.2808988764044944</c:v>
                </c:pt>
              </c:numCache>
            </c:numRef>
          </c:val>
          <c:extLst>
            <c:ext xmlns:c16="http://schemas.microsoft.com/office/drawing/2014/chart" uri="{C3380CC4-5D6E-409C-BE32-E72D297353CC}">
              <c16:uniqueId val="{00000001-4E2E-47EA-9F51-7AC0D9C93BC1}"/>
            </c:ext>
          </c:extLst>
        </c:ser>
        <c:ser>
          <c:idx val="2"/>
          <c:order val="2"/>
          <c:tx>
            <c:v>Assists Share</c:v>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Flatsheet!$B$13:$B$18</c:f>
              <c:strCache>
                <c:ptCount val="6"/>
                <c:pt idx="0">
                  <c:v>Luis Diaz</c:v>
                </c:pt>
                <c:pt idx="1">
                  <c:v>Cody Gakpo</c:v>
                </c:pt>
                <c:pt idx="2">
                  <c:v>Jayden Danns</c:v>
                </c:pt>
                <c:pt idx="3">
                  <c:v>Diogo Jota</c:v>
                </c:pt>
                <c:pt idx="4">
                  <c:v>Darwin Nunez</c:v>
                </c:pt>
                <c:pt idx="5">
                  <c:v>Mohamed Salah</c:v>
                </c:pt>
              </c:strCache>
            </c:strRef>
          </c:cat>
          <c:val>
            <c:numRef>
              <c:f>Flatsheet!$W$13:$W$18</c:f>
              <c:numCache>
                <c:formatCode>0.00%</c:formatCode>
                <c:ptCount val="6"/>
                <c:pt idx="0">
                  <c:v>0.11904761904761904</c:v>
                </c:pt>
                <c:pt idx="1">
                  <c:v>0.14285714285714285</c:v>
                </c:pt>
                <c:pt idx="2">
                  <c:v>0</c:v>
                </c:pt>
                <c:pt idx="3">
                  <c:v>9.5238095238095233E-2</c:v>
                </c:pt>
                <c:pt idx="4">
                  <c:v>0.30952380952380953</c:v>
                </c:pt>
                <c:pt idx="5">
                  <c:v>0.33333333333333331</c:v>
                </c:pt>
              </c:numCache>
            </c:numRef>
          </c:val>
          <c:extLst>
            <c:ext xmlns:c16="http://schemas.microsoft.com/office/drawing/2014/chart" uri="{C3380CC4-5D6E-409C-BE32-E72D297353CC}">
              <c16:uniqueId val="{00000002-4E2E-47EA-9F51-7AC0D9C93BC1}"/>
            </c:ext>
          </c:extLst>
        </c:ser>
        <c:dLbls>
          <c:dLblPos val="outEnd"/>
          <c:showLegendKey val="0"/>
          <c:showVal val="1"/>
          <c:showCatName val="0"/>
          <c:showSerName val="0"/>
          <c:showPercent val="0"/>
          <c:showBubbleSize val="0"/>
        </c:dLbls>
        <c:gapWidth val="444"/>
        <c:overlap val="-90"/>
        <c:axId val="1220171903"/>
        <c:axId val="1220172863"/>
      </c:barChart>
      <c:catAx>
        <c:axId val="1220171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20172863"/>
        <c:crosses val="autoZero"/>
        <c:auto val="1"/>
        <c:lblAlgn val="ctr"/>
        <c:lblOffset val="100"/>
        <c:noMultiLvlLbl val="0"/>
      </c:catAx>
      <c:valAx>
        <c:axId val="1220172863"/>
        <c:scaling>
          <c:orientation val="minMax"/>
        </c:scaling>
        <c:delete val="1"/>
        <c:axPos val="l"/>
        <c:numFmt formatCode="0.00%" sourceLinked="1"/>
        <c:majorTickMark val="none"/>
        <c:minorTickMark val="none"/>
        <c:tickLblPos val="nextTo"/>
        <c:crossAx val="12201719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200"/>
              <a:t>Minutes, Goals</a:t>
            </a:r>
            <a:r>
              <a:rPr lang="en-IN" sz="1200" baseline="0"/>
              <a:t> &amp; Assists Share (24/25)</a:t>
            </a:r>
            <a:endParaRPr lang="en-IN" sz="120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v>Minutes Share</c:v>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Flatsheet!$B$19:$B$25</c:f>
              <c:strCache>
                <c:ptCount val="7"/>
                <c:pt idx="0">
                  <c:v>Mohamed Salah</c:v>
                </c:pt>
                <c:pt idx="1">
                  <c:v>Federico Chiesa</c:v>
                </c:pt>
                <c:pt idx="2">
                  <c:v>Luis Diaz</c:v>
                </c:pt>
                <c:pt idx="3">
                  <c:v>Cody Gakpo</c:v>
                </c:pt>
                <c:pt idx="4">
                  <c:v>Diogo Jota</c:v>
                </c:pt>
                <c:pt idx="5">
                  <c:v>Darwin Nunez</c:v>
                </c:pt>
                <c:pt idx="6">
                  <c:v>Jayden Danns</c:v>
                </c:pt>
              </c:strCache>
            </c:strRef>
          </c:cat>
          <c:val>
            <c:numRef>
              <c:f>Flatsheet!$U$19:$U$25</c:f>
              <c:numCache>
                <c:formatCode>0.00%</c:formatCode>
                <c:ptCount val="7"/>
                <c:pt idx="0">
                  <c:v>0.29975298751585555</c:v>
                </c:pt>
                <c:pt idx="1">
                  <c:v>3.1377261499432541E-2</c:v>
                </c:pt>
                <c:pt idx="2">
                  <c:v>0.22184391481407303</c:v>
                </c:pt>
                <c:pt idx="3">
                  <c:v>0.1795847519861139</c:v>
                </c:pt>
                <c:pt idx="4">
                  <c:v>0.12223779958608719</c:v>
                </c:pt>
                <c:pt idx="5">
                  <c:v>0.13739234928900459</c:v>
                </c:pt>
                <c:pt idx="6">
                  <c:v>7.8109353094332062E-3</c:v>
                </c:pt>
              </c:numCache>
            </c:numRef>
          </c:val>
          <c:extLst>
            <c:ext xmlns:c16="http://schemas.microsoft.com/office/drawing/2014/chart" uri="{C3380CC4-5D6E-409C-BE32-E72D297353CC}">
              <c16:uniqueId val="{00000000-AC48-4FAA-83E4-D701043326B9}"/>
            </c:ext>
          </c:extLst>
        </c:ser>
        <c:ser>
          <c:idx val="1"/>
          <c:order val="1"/>
          <c:tx>
            <c:v>Goals Share</c:v>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Flatsheet!$B$19:$B$25</c:f>
              <c:strCache>
                <c:ptCount val="7"/>
                <c:pt idx="0">
                  <c:v>Mohamed Salah</c:v>
                </c:pt>
                <c:pt idx="1">
                  <c:v>Federico Chiesa</c:v>
                </c:pt>
                <c:pt idx="2">
                  <c:v>Luis Diaz</c:v>
                </c:pt>
                <c:pt idx="3">
                  <c:v>Cody Gakpo</c:v>
                </c:pt>
                <c:pt idx="4">
                  <c:v>Diogo Jota</c:v>
                </c:pt>
                <c:pt idx="5">
                  <c:v>Darwin Nunez</c:v>
                </c:pt>
                <c:pt idx="6">
                  <c:v>Jayden Danns</c:v>
                </c:pt>
              </c:strCache>
            </c:strRef>
          </c:cat>
          <c:val>
            <c:numRef>
              <c:f>Flatsheet!$V$19:$V$25</c:f>
              <c:numCache>
                <c:formatCode>0.00%</c:formatCode>
                <c:ptCount val="7"/>
                <c:pt idx="0">
                  <c:v>0.38636363636363635</c:v>
                </c:pt>
                <c:pt idx="1">
                  <c:v>2.2727272727272728E-2</c:v>
                </c:pt>
                <c:pt idx="2">
                  <c:v>0.19318181818181818</c:v>
                </c:pt>
                <c:pt idx="3">
                  <c:v>0.20454545454545456</c:v>
                </c:pt>
                <c:pt idx="4">
                  <c:v>0.10227272727272728</c:v>
                </c:pt>
                <c:pt idx="5">
                  <c:v>7.9545454545454544E-2</c:v>
                </c:pt>
                <c:pt idx="6">
                  <c:v>1.1363636363636364E-2</c:v>
                </c:pt>
              </c:numCache>
            </c:numRef>
          </c:val>
          <c:extLst>
            <c:ext xmlns:c16="http://schemas.microsoft.com/office/drawing/2014/chart" uri="{C3380CC4-5D6E-409C-BE32-E72D297353CC}">
              <c16:uniqueId val="{00000001-AC48-4FAA-83E4-D701043326B9}"/>
            </c:ext>
          </c:extLst>
        </c:ser>
        <c:ser>
          <c:idx val="2"/>
          <c:order val="2"/>
          <c:tx>
            <c:v>Assists Share</c:v>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Flatsheet!$B$19:$B$25</c:f>
              <c:strCache>
                <c:ptCount val="7"/>
                <c:pt idx="0">
                  <c:v>Mohamed Salah</c:v>
                </c:pt>
                <c:pt idx="1">
                  <c:v>Federico Chiesa</c:v>
                </c:pt>
                <c:pt idx="2">
                  <c:v>Luis Diaz</c:v>
                </c:pt>
                <c:pt idx="3">
                  <c:v>Cody Gakpo</c:v>
                </c:pt>
                <c:pt idx="4">
                  <c:v>Diogo Jota</c:v>
                </c:pt>
                <c:pt idx="5">
                  <c:v>Darwin Nunez</c:v>
                </c:pt>
                <c:pt idx="6">
                  <c:v>Jayden Danns</c:v>
                </c:pt>
              </c:strCache>
            </c:strRef>
          </c:cat>
          <c:val>
            <c:numRef>
              <c:f>Flatsheet!$W$19:$W$25</c:f>
              <c:numCache>
                <c:formatCode>0.00%</c:formatCode>
                <c:ptCount val="7"/>
                <c:pt idx="0">
                  <c:v>0.53488372093023251</c:v>
                </c:pt>
                <c:pt idx="1">
                  <c:v>2.3255813953488372E-2</c:v>
                </c:pt>
                <c:pt idx="2">
                  <c:v>0.11627906976744186</c:v>
                </c:pt>
                <c:pt idx="3">
                  <c:v>0.13953488372093023</c:v>
                </c:pt>
                <c:pt idx="4">
                  <c:v>6.9767441860465115E-2</c:v>
                </c:pt>
                <c:pt idx="5">
                  <c:v>0.11627906976744186</c:v>
                </c:pt>
                <c:pt idx="6">
                  <c:v>0</c:v>
                </c:pt>
              </c:numCache>
            </c:numRef>
          </c:val>
          <c:extLst>
            <c:ext xmlns:c16="http://schemas.microsoft.com/office/drawing/2014/chart" uri="{C3380CC4-5D6E-409C-BE32-E72D297353CC}">
              <c16:uniqueId val="{00000002-AC48-4FAA-83E4-D701043326B9}"/>
            </c:ext>
          </c:extLst>
        </c:ser>
        <c:dLbls>
          <c:dLblPos val="outEnd"/>
          <c:showLegendKey val="0"/>
          <c:showVal val="1"/>
          <c:showCatName val="0"/>
          <c:showSerName val="0"/>
          <c:showPercent val="0"/>
          <c:showBubbleSize val="0"/>
        </c:dLbls>
        <c:gapWidth val="444"/>
        <c:overlap val="-90"/>
        <c:axId val="1220178143"/>
        <c:axId val="1220190623"/>
      </c:barChart>
      <c:catAx>
        <c:axId val="1220178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20190623"/>
        <c:crosses val="autoZero"/>
        <c:auto val="1"/>
        <c:lblAlgn val="ctr"/>
        <c:lblOffset val="100"/>
        <c:noMultiLvlLbl val="0"/>
      </c:catAx>
      <c:valAx>
        <c:axId val="1220190623"/>
        <c:scaling>
          <c:orientation val="minMax"/>
        </c:scaling>
        <c:delete val="1"/>
        <c:axPos val="l"/>
        <c:numFmt formatCode="0.00%" sourceLinked="1"/>
        <c:majorTickMark val="none"/>
        <c:minorTickMark val="none"/>
        <c:tickLblPos val="nextTo"/>
        <c:crossAx val="12201781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164123</xdr:colOff>
      <xdr:row>30</xdr:row>
      <xdr:rowOff>0</xdr:rowOff>
    </xdr:from>
    <xdr:to>
      <xdr:col>5</xdr:col>
      <xdr:colOff>134815</xdr:colOff>
      <xdr:row>45</xdr:row>
      <xdr:rowOff>61378</xdr:rowOff>
    </xdr:to>
    <xdr:graphicFrame macro="">
      <xdr:nvGraphicFramePr>
        <xdr:cNvPr id="4" name="Chart 3">
          <a:extLst>
            <a:ext uri="{FF2B5EF4-FFF2-40B4-BE49-F238E27FC236}">
              <a16:creationId xmlns:a16="http://schemas.microsoft.com/office/drawing/2014/main" id="{036DFD7E-4387-E131-20FB-2EADA1C8D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381000</xdr:colOff>
      <xdr:row>29</xdr:row>
      <xdr:rowOff>199291</xdr:rowOff>
    </xdr:from>
    <xdr:to>
      <xdr:col>11</xdr:col>
      <xdr:colOff>480646</xdr:colOff>
      <xdr:row>45</xdr:row>
      <xdr:rowOff>50278</xdr:rowOff>
    </xdr:to>
    <xdr:graphicFrame macro="">
      <xdr:nvGraphicFramePr>
        <xdr:cNvPr id="6" name="Chart 5">
          <a:extLst>
            <a:ext uri="{FF2B5EF4-FFF2-40B4-BE49-F238E27FC236}">
              <a16:creationId xmlns:a16="http://schemas.microsoft.com/office/drawing/2014/main" id="{1B80641A-426D-7B0B-C379-7EAD6E7E6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17585</xdr:colOff>
      <xdr:row>30</xdr:row>
      <xdr:rowOff>11724</xdr:rowOff>
    </xdr:from>
    <xdr:to>
      <xdr:col>17</xdr:col>
      <xdr:colOff>328246</xdr:colOff>
      <xdr:row>45</xdr:row>
      <xdr:rowOff>62204</xdr:rowOff>
    </xdr:to>
    <xdr:graphicFrame macro="">
      <xdr:nvGraphicFramePr>
        <xdr:cNvPr id="8" name="Chart 7">
          <a:extLst>
            <a:ext uri="{FF2B5EF4-FFF2-40B4-BE49-F238E27FC236}">
              <a16:creationId xmlns:a16="http://schemas.microsoft.com/office/drawing/2014/main" id="{77ECFBF6-BCBC-6EC8-4156-EA86E35FF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ya" refreshedDate="46045.81724837963" createdVersion="8" refreshedVersion="8" minRefreshableVersion="3" recordCount="20" xr:uid="{8404AA3D-619C-454C-AB2D-ED493B2D917F}">
  <cacheSource type="worksheet">
    <worksheetSource ref="A5:W25" sheet="Flatsheet"/>
  </cacheSource>
  <cacheFields count="23">
    <cacheField name="Season" numFmtId="0">
      <sharedItems count="3">
        <s v="2022-23"/>
        <s v="2023-24"/>
        <s v="2024-25"/>
      </sharedItems>
    </cacheField>
    <cacheField name="Player" numFmtId="0">
      <sharedItems count="9">
        <s v="Mohamed Salah"/>
        <s v="Alex Oxlade-Chamberlain"/>
        <s v="Roberto Firmino"/>
        <s v="Luis Diaz"/>
        <s v="Diogo Jota"/>
        <s v="Darwin Nunez"/>
        <s v="Cody Gakpo"/>
        <s v="Jayden Danns"/>
        <s v="Federico Chiesa"/>
      </sharedItems>
    </cacheField>
    <cacheField name="Department" numFmtId="0">
      <sharedItems/>
    </cacheField>
    <cacheField name="Position" numFmtId="0">
      <sharedItems/>
    </cacheField>
    <cacheField name="MP" numFmtId="0">
      <sharedItems containsSemiMixedTypes="0" containsString="0" containsNumber="1" containsInteger="1" minValue="4" maxValue="54"/>
    </cacheField>
    <cacheField name="Starts" numFmtId="0">
      <sharedItems containsSemiMixedTypes="0" containsString="0" containsNumber="1" containsInteger="1" minValue="0" maxValue="50"/>
    </cacheField>
    <cacheField name="Minutes" numFmtId="0">
      <sharedItems containsSemiMixedTypes="0" containsString="0" containsNumber="1" containsInteger="1" minValue="83" maxValue="4490"/>
    </cacheField>
    <cacheField name="G" numFmtId="0">
      <sharedItems containsSemiMixedTypes="0" containsString="0" containsNumber="1" containsInteger="1" minValue="1" maxValue="34"/>
    </cacheField>
    <cacheField name="A" numFmtId="0">
      <sharedItems containsSemiMixedTypes="0" containsString="0" containsNumber="1" containsInteger="1" minValue="0" maxValue="23"/>
    </cacheField>
    <cacheField name="G+A" numFmtId="0">
      <sharedItems containsSemiMixedTypes="0" containsString="0" containsNumber="1" containsInteger="1" minValue="1" maxValue="57"/>
    </cacheField>
    <cacheField name="G-PK" numFmtId="0">
      <sharedItems containsSemiMixedTypes="0" containsString="0" containsNumber="1" containsInteger="1" minValue="1" maxValue="26"/>
    </cacheField>
    <cacheField name="PK" numFmtId="0">
      <sharedItems containsSemiMixedTypes="0" containsString="0" containsNumber="1" containsInteger="1" minValue="0" maxValue="11"/>
    </cacheField>
    <cacheField name="PKAtt." numFmtId="0">
      <sharedItems containsSemiMixedTypes="0" containsString="0" containsNumber="1" containsInteger="1" minValue="0" maxValue="12"/>
    </cacheField>
    <cacheField name="Crd(Y)" numFmtId="0">
      <sharedItems containsSemiMixedTypes="0" containsString="0" containsNumber="1" containsInteger="1" minValue="0" maxValue="11"/>
    </cacheField>
    <cacheField name="Crd(R)" numFmtId="0">
      <sharedItems containsSemiMixedTypes="0" containsString="0" containsNumber="1" containsInteger="1" minValue="0" maxValue="1"/>
    </cacheField>
    <cacheField name="G/90" numFmtId="164">
      <sharedItems containsSemiMixedTypes="0" containsString="0" containsNumber="1" minValue="1.1111111111111112E-2" maxValue="0.37777777777777777"/>
    </cacheField>
    <cacheField name="A/90" numFmtId="164">
      <sharedItems containsSemiMixedTypes="0" containsString="0" containsNumber="1" minValue="0" maxValue="0.25555555555555554"/>
    </cacheField>
    <cacheField name="G+A/90" numFmtId="164">
      <sharedItems containsSemiMixedTypes="0" containsString="0" containsNumber="1" minValue="1.1111111111111112E-2" maxValue="0.6333333333333333"/>
    </cacheField>
    <cacheField name="G-PK/90" numFmtId="164">
      <sharedItems containsSemiMixedTypes="0" containsString="0" containsNumber="1" minValue="1.1111111111111112E-2" maxValue="0.28888888888888886"/>
    </cacheField>
    <cacheField name="Minutes/G+A" numFmtId="164">
      <sharedItems containsSemiMixedTypes="0" containsString="0" containsNumber="1" minValue="41.5" maxValue="525"/>
    </cacheField>
    <cacheField name="Minutes Share" numFmtId="10">
      <sharedItems containsSemiMixedTypes="0" containsString="0" containsNumber="1" minValue="5.6974190005491488E-3" maxValue="0.31677614584102148"/>
    </cacheField>
    <cacheField name="Goals Share" numFmtId="10">
      <sharedItems containsSemiMixedTypes="0" containsString="0" containsNumber="1" minValue="1.1363636363636364E-2" maxValue="0.38636363636363635"/>
    </cacheField>
    <cacheField name="Assists Share" numFmtId="10">
      <sharedItems containsSemiMixedTypes="0" containsString="0" containsNumber="1" minValue="0" maxValue="0.5348837209302325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Attack"/>
    <s v="FW"/>
    <n v="51"/>
    <n v="48"/>
    <n v="4292"/>
    <n v="30"/>
    <n v="16"/>
    <n v="46"/>
    <n v="26"/>
    <n v="4"/>
    <n v="6"/>
    <n v="2"/>
    <n v="0"/>
    <n v="0.33333333333333331"/>
    <n v="0.17777777777777778"/>
    <n v="0.51111111111111107"/>
    <n v="0.28888888888888886"/>
    <n v="93.304347826086953"/>
    <n v="0.31677614584102148"/>
    <n v="0.38461538461538464"/>
    <n v="0.42105263157894735"/>
  </r>
  <r>
    <x v="0"/>
    <x v="1"/>
    <s v="Attack"/>
    <s v="FW"/>
    <n v="13"/>
    <n v="5"/>
    <n v="525"/>
    <n v="1"/>
    <n v="0"/>
    <n v="1"/>
    <n v="1"/>
    <n v="0"/>
    <n v="0"/>
    <n v="0"/>
    <n v="0"/>
    <n v="1.1111111111111112E-2"/>
    <n v="0"/>
    <n v="1.1111111111111112E-2"/>
    <n v="1.1111111111111112E-2"/>
    <n v="525"/>
    <n v="3.8748247103107238E-2"/>
    <n v="1.282051282051282E-2"/>
    <n v="0"/>
  </r>
  <r>
    <x v="0"/>
    <x v="2"/>
    <s v="Attack"/>
    <s v="FW"/>
    <n v="35"/>
    <n v="18"/>
    <n v="1743"/>
    <n v="13"/>
    <n v="5"/>
    <n v="18"/>
    <n v="13"/>
    <n v="0"/>
    <n v="0"/>
    <n v="0"/>
    <n v="0"/>
    <n v="0.14444444444444443"/>
    <n v="5.5555555555555552E-2"/>
    <n v="0.2"/>
    <n v="0.14444444444444443"/>
    <n v="96.833333333333329"/>
    <n v="0.12864418038231604"/>
    <n v="0.16666666666666666"/>
    <n v="0.13157894736842105"/>
  </r>
  <r>
    <x v="0"/>
    <x v="3"/>
    <s v="Attack"/>
    <s v="FW"/>
    <n v="21"/>
    <n v="15"/>
    <n v="1354"/>
    <n v="5"/>
    <n v="2"/>
    <n v="7"/>
    <n v="5"/>
    <n v="0"/>
    <n v="0"/>
    <n v="2"/>
    <n v="0"/>
    <n v="5.5555555555555552E-2"/>
    <n v="2.2222222222222223E-2"/>
    <n v="7.7777777777777779E-2"/>
    <n v="5.5555555555555552E-2"/>
    <n v="193.42857142857142"/>
    <n v="9.9933574433537536E-2"/>
    <n v="6.4102564102564097E-2"/>
    <n v="5.2631578947368418E-2"/>
  </r>
  <r>
    <x v="0"/>
    <x v="4"/>
    <s v="Attack"/>
    <s v="FW"/>
    <n v="28"/>
    <n v="15"/>
    <n v="1394"/>
    <n v="7"/>
    <n v="8"/>
    <n v="15"/>
    <n v="7"/>
    <n v="0"/>
    <n v="0"/>
    <n v="2"/>
    <n v="0"/>
    <n v="7.7777777777777779E-2"/>
    <n v="8.8888888888888892E-2"/>
    <n v="0.16666666666666666"/>
    <n v="7.7777777777777779E-2"/>
    <n v="92.933333333333337"/>
    <n v="0.10288582183186951"/>
    <n v="8.9743589743589744E-2"/>
    <n v="0.21052631578947367"/>
  </r>
  <r>
    <x v="0"/>
    <x v="5"/>
    <s v="Attack"/>
    <s v="FW"/>
    <n v="42"/>
    <n v="26"/>
    <n v="2393"/>
    <n v="15"/>
    <n v="5"/>
    <n v="20"/>
    <n v="15"/>
    <n v="0"/>
    <n v="0"/>
    <n v="3"/>
    <n v="1"/>
    <n v="0.16666666666666666"/>
    <n v="5.5555555555555552E-2"/>
    <n v="0.22222222222222221"/>
    <n v="0.16666666666666666"/>
    <n v="119.65"/>
    <n v="0.17661820060521072"/>
    <n v="0.19230769230769232"/>
    <n v="0.13157894736842105"/>
  </r>
  <r>
    <x v="0"/>
    <x v="6"/>
    <s v="Attack"/>
    <s v="FW"/>
    <n v="26"/>
    <n v="22"/>
    <n v="1848"/>
    <n v="7"/>
    <n v="2"/>
    <n v="9"/>
    <n v="7"/>
    <n v="0"/>
    <n v="0"/>
    <n v="0"/>
    <n v="0"/>
    <n v="7.7777777777777779E-2"/>
    <n v="2.2222222222222223E-2"/>
    <n v="0.1"/>
    <n v="7.7777777777777779E-2"/>
    <n v="205.33333333333334"/>
    <n v="0.13639382980293749"/>
    <n v="8.9743589743589744E-2"/>
    <n v="5.2631578947368418E-2"/>
  </r>
  <r>
    <x v="1"/>
    <x v="3"/>
    <s v="Attack"/>
    <s v="FW"/>
    <n v="51"/>
    <n v="42"/>
    <n v="3596"/>
    <n v="13"/>
    <n v="5"/>
    <n v="18"/>
    <n v="13"/>
    <n v="0"/>
    <n v="0"/>
    <n v="3"/>
    <n v="0"/>
    <n v="0.14444444444444443"/>
    <n v="5.5555555555555552E-2"/>
    <n v="0.2"/>
    <n v="0.14444444444444443"/>
    <n v="199.77777777777777"/>
    <n v="0.24684239428885227"/>
    <n v="0.14606741573033707"/>
    <n v="0.11904761904761904"/>
  </r>
  <r>
    <x v="1"/>
    <x v="6"/>
    <s v="Attack"/>
    <s v="FW, MF"/>
    <n v="53"/>
    <n v="32"/>
    <n v="3017"/>
    <n v="16"/>
    <n v="6"/>
    <n v="22"/>
    <n v="16"/>
    <n v="0"/>
    <n v="0"/>
    <n v="2"/>
    <n v="0"/>
    <n v="0.17777777777777778"/>
    <n v="6.6666666666666666E-2"/>
    <n v="0.24444444444444444"/>
    <n v="0.17777777777777778"/>
    <n v="137.13636363636363"/>
    <n v="0.20709774848984075"/>
    <n v="0.1797752808988764"/>
    <n v="0.14285714285714285"/>
  </r>
  <r>
    <x v="1"/>
    <x v="7"/>
    <s v="Attack"/>
    <s v="FW"/>
    <n v="5"/>
    <n v="0"/>
    <n v="83"/>
    <n v="2"/>
    <n v="0"/>
    <n v="2"/>
    <n v="2"/>
    <n v="0"/>
    <n v="0"/>
    <n v="1"/>
    <n v="0"/>
    <n v="2.2222222222222223E-2"/>
    <n v="0"/>
    <n v="2.2222222222222223E-2"/>
    <n v="2.2222222222222223E-2"/>
    <n v="41.5"/>
    <n v="5.6974190005491488E-3"/>
    <n v="2.247191011235955E-2"/>
    <n v="0"/>
  </r>
  <r>
    <x v="1"/>
    <x v="4"/>
    <s v="Attack"/>
    <s v="FW"/>
    <n v="32"/>
    <n v="19"/>
    <n v="1711"/>
    <n v="15"/>
    <n v="4"/>
    <n v="19"/>
    <n v="15"/>
    <n v="0"/>
    <n v="0"/>
    <n v="3"/>
    <n v="1"/>
    <n v="0.16666666666666666"/>
    <n v="4.4444444444444446E-2"/>
    <n v="0.21111111111111111"/>
    <n v="0.16666666666666666"/>
    <n v="90.05263157894737"/>
    <n v="0.11744920373421197"/>
    <n v="0.16853932584269662"/>
    <n v="9.5238095238095233E-2"/>
  </r>
  <r>
    <x v="1"/>
    <x v="5"/>
    <s v="Attack"/>
    <s v="FW"/>
    <n v="54"/>
    <n v="33"/>
    <n v="3030"/>
    <n v="18"/>
    <n v="13"/>
    <n v="31"/>
    <n v="17"/>
    <n v="1"/>
    <n v="2"/>
    <n v="11"/>
    <n v="0"/>
    <n v="0.2"/>
    <n v="0.14444444444444443"/>
    <n v="0.34444444444444444"/>
    <n v="0.18888888888888888"/>
    <n v="97.741935483870961"/>
    <n v="0.20799011532125206"/>
    <n v="0.20224719101123595"/>
    <n v="0.30952380952380953"/>
  </r>
  <r>
    <x v="1"/>
    <x v="0"/>
    <s v="Attack"/>
    <s v="FW"/>
    <n v="44"/>
    <n v="34"/>
    <n v="3131"/>
    <n v="25"/>
    <n v="14"/>
    <n v="39"/>
    <n v="19"/>
    <n v="6"/>
    <n v="8"/>
    <n v="2"/>
    <n v="0"/>
    <n v="0.27777777777777779"/>
    <n v="0.15555555555555556"/>
    <n v="0.43333333333333335"/>
    <n v="0.21111111111111111"/>
    <n v="80.282051282051285"/>
    <n v="0.2149231191652938"/>
    <n v="0.2808988764044944"/>
    <n v="0.33333333333333331"/>
  </r>
  <r>
    <x v="2"/>
    <x v="0"/>
    <s v="Attack"/>
    <s v="FW"/>
    <n v="52"/>
    <n v="50"/>
    <n v="4490"/>
    <n v="34"/>
    <n v="23"/>
    <n v="57"/>
    <n v="23"/>
    <n v="11"/>
    <n v="12"/>
    <n v="1"/>
    <n v="0"/>
    <n v="0.37777777777777777"/>
    <n v="0.25555555555555554"/>
    <n v="0.6333333333333333"/>
    <n v="0.25555555555555554"/>
    <n v="78.771929824561397"/>
    <n v="0.29975298751585555"/>
    <n v="0.38636363636363635"/>
    <n v="0.53488372093023251"/>
  </r>
  <r>
    <x v="2"/>
    <x v="8"/>
    <s v="Attack"/>
    <s v="FW"/>
    <n v="14"/>
    <n v="4"/>
    <n v="470"/>
    <n v="2"/>
    <n v="1"/>
    <n v="3"/>
    <n v="2"/>
    <n v="0"/>
    <n v="0"/>
    <n v="1"/>
    <n v="0"/>
    <n v="2.2222222222222223E-2"/>
    <n v="1.1111111111111112E-2"/>
    <n v="3.3333333333333333E-2"/>
    <n v="2.2222222222222223E-2"/>
    <n v="156.66666666666666"/>
    <n v="3.1377261499432541E-2"/>
    <n v="2.2727272727272728E-2"/>
    <n v="2.3255813953488372E-2"/>
  </r>
  <r>
    <x v="2"/>
    <x v="3"/>
    <s v="Attack"/>
    <s v="FW"/>
    <n v="50"/>
    <n v="38"/>
    <n v="3323"/>
    <n v="17"/>
    <n v="5"/>
    <n v="22"/>
    <n v="17"/>
    <n v="0"/>
    <n v="0"/>
    <n v="3"/>
    <n v="0"/>
    <n v="0.18888888888888888"/>
    <n v="5.5555555555555552E-2"/>
    <n v="0.24444444444444444"/>
    <n v="0.18888888888888888"/>
    <n v="151.04545454545453"/>
    <n v="0.22184391481407303"/>
    <n v="0.19318181818181818"/>
    <n v="0.11627906976744186"/>
  </r>
  <r>
    <x v="2"/>
    <x v="6"/>
    <s v="Attack"/>
    <s v="FW"/>
    <n v="49"/>
    <n v="32"/>
    <n v="2690"/>
    <n v="18"/>
    <n v="6"/>
    <n v="24"/>
    <n v="17"/>
    <n v="1"/>
    <n v="1"/>
    <n v="5"/>
    <n v="0"/>
    <n v="0.2"/>
    <n v="6.6666666666666666E-2"/>
    <n v="0.26666666666666666"/>
    <n v="0.18888888888888888"/>
    <n v="112.08333333333333"/>
    <n v="0.1795847519861139"/>
    <n v="0.20454545454545456"/>
    <n v="0.13953488372093023"/>
  </r>
  <r>
    <x v="2"/>
    <x v="4"/>
    <s v="Attack"/>
    <s v="FW"/>
    <n v="37"/>
    <n v="22"/>
    <n v="1831"/>
    <n v="9"/>
    <n v="3"/>
    <n v="12"/>
    <n v="9"/>
    <n v="0"/>
    <n v="0"/>
    <n v="2"/>
    <n v="0"/>
    <n v="0.1"/>
    <n v="3.3333333333333333E-2"/>
    <n v="0.13333333333333333"/>
    <n v="0.1"/>
    <n v="152.58333333333334"/>
    <n v="0.12223779958608719"/>
    <n v="0.10227272727272728"/>
    <n v="6.9767441860465115E-2"/>
  </r>
  <r>
    <x v="2"/>
    <x v="5"/>
    <s v="Attack"/>
    <s v="FW"/>
    <n v="47"/>
    <n v="17"/>
    <n v="2058"/>
    <n v="7"/>
    <n v="5"/>
    <n v="12"/>
    <n v="7"/>
    <n v="0"/>
    <n v="0"/>
    <n v="9"/>
    <n v="0"/>
    <n v="7.7777777777777779E-2"/>
    <n v="5.5555555555555552E-2"/>
    <n v="0.13333333333333333"/>
    <n v="7.7777777777777779E-2"/>
    <n v="171.5"/>
    <n v="0.13739234928900459"/>
    <n v="7.9545454545454544E-2"/>
    <n v="0.11627906976744186"/>
  </r>
  <r>
    <x v="2"/>
    <x v="7"/>
    <s v="Attack"/>
    <s v="FW"/>
    <n v="4"/>
    <n v="1"/>
    <n v="117"/>
    <n v="1"/>
    <n v="0"/>
    <n v="1"/>
    <n v="1"/>
    <n v="0"/>
    <n v="0"/>
    <n v="0"/>
    <n v="0"/>
    <n v="1.1111111111111112E-2"/>
    <n v="0"/>
    <n v="1.1111111111111112E-2"/>
    <n v="1.1111111111111112E-2"/>
    <n v="117"/>
    <n v="7.8109353094332062E-3"/>
    <n v="1.1363636363636364E-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F3902E-7807-4B05-AC83-EED31A31D8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5:M37" firstHeaderRow="1" firstDataRow="3" firstDataCol="1"/>
  <pivotFields count="23">
    <pivotField axis="axisCol" showAll="0">
      <items count="4">
        <item x="0"/>
        <item x="1"/>
        <item x="2"/>
        <item t="default"/>
      </items>
    </pivotField>
    <pivotField axis="axisRow" showAll="0" sortType="ascending">
      <items count="10">
        <item x="1"/>
        <item x="6"/>
        <item x="5"/>
        <item x="4"/>
        <item x="8"/>
        <item x="7"/>
        <item x="3"/>
        <item x="0"/>
        <item x="2"/>
        <item t="default"/>
      </items>
      <autoSortScope>
        <pivotArea dataOnly="0" outline="0" fieldPosition="0">
          <references count="2">
            <reference field="4294967294" count="1" selected="0">
              <x v="0"/>
            </reference>
            <reference field="0"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164" showAll="0"/>
    <pivotField numFmtId="164" showAll="0"/>
    <pivotField numFmtId="164" showAll="0"/>
    <pivotField dataField="1" numFmtId="10" showAll="0"/>
    <pivotField dataField="1" numFmtId="10" showAll="0"/>
    <pivotField dataField="1" numFmtId="10" showAll="0"/>
  </pivotFields>
  <rowFields count="1">
    <field x="1"/>
  </rowFields>
  <rowItems count="10">
    <i>
      <x v="4"/>
    </i>
    <i>
      <x v="5"/>
    </i>
    <i>
      <x/>
    </i>
    <i>
      <x v="6"/>
    </i>
    <i>
      <x v="3"/>
    </i>
    <i>
      <x v="8"/>
    </i>
    <i>
      <x v="1"/>
    </i>
    <i>
      <x v="2"/>
    </i>
    <i>
      <x v="7"/>
    </i>
    <i t="grand">
      <x/>
    </i>
  </rowItems>
  <colFields count="2">
    <field x="0"/>
    <field x="-2"/>
  </colFields>
  <colItems count="12">
    <i>
      <x/>
      <x/>
    </i>
    <i r="1" i="1">
      <x v="1"/>
    </i>
    <i r="1" i="2">
      <x v="2"/>
    </i>
    <i>
      <x v="1"/>
      <x/>
    </i>
    <i r="1" i="1">
      <x v="1"/>
    </i>
    <i r="1" i="2">
      <x v="2"/>
    </i>
    <i>
      <x v="2"/>
      <x/>
    </i>
    <i r="1" i="1">
      <x v="1"/>
    </i>
    <i r="1" i="2">
      <x v="2"/>
    </i>
    <i t="grand">
      <x/>
    </i>
    <i t="grand" i="1">
      <x/>
    </i>
    <i t="grand" i="2">
      <x/>
    </i>
  </colItems>
  <dataFields count="3">
    <dataField name="Sum of Minutes Share" fld="20" baseField="1" baseItem="0" numFmtId="10"/>
    <dataField name="Sum of Goals Share" fld="21" baseField="0" baseItem="0" numFmtId="10"/>
    <dataField name="Sum of Assists Share" fld="22" baseField="0" baseItem="0" numFmtId="10"/>
  </dataFields>
  <formats count="31">
    <format dxfId="33">
      <pivotArea dataOnly="0" labelOnly="1" fieldPosition="0">
        <references count="1">
          <reference field="0" count="1">
            <x v="0"/>
          </reference>
        </references>
      </pivotArea>
    </format>
    <format dxfId="32">
      <pivotArea dataOnly="0" labelOnly="1" fieldPosition="0">
        <references count="1">
          <reference field="0" count="1">
            <x v="1"/>
          </reference>
        </references>
      </pivotArea>
    </format>
    <format dxfId="31">
      <pivotArea dataOnly="0" labelOnly="1" fieldPosition="0">
        <references count="1">
          <reference field="0" count="1">
            <x v="2"/>
          </reference>
        </references>
      </pivotArea>
    </format>
    <format dxfId="30">
      <pivotArea field="0" dataOnly="0" labelOnly="1" grandCol="1" outline="0" offset="IV1" axis="axisCol" fieldPosition="0">
        <references count="1">
          <reference field="4294967294" count="1" selected="0">
            <x v="0"/>
          </reference>
        </references>
      </pivotArea>
    </format>
    <format dxfId="29">
      <pivotArea field="0" dataOnly="0" labelOnly="1" grandCol="1" outline="0" offset="IV1" axis="axisCol" fieldPosition="0">
        <references count="1">
          <reference field="4294967294" count="1" selected="0">
            <x v="1"/>
          </reference>
        </references>
      </pivotArea>
    </format>
    <format dxfId="28">
      <pivotArea field="0" dataOnly="0" labelOnly="1" grandCol="1" outline="0" offset="IV1" axis="axisCol" fieldPosition="0">
        <references count="1">
          <reference field="4294967294" count="1" selected="0">
            <x v="2"/>
          </reference>
        </references>
      </pivotArea>
    </format>
    <format dxfId="27">
      <pivotArea outline="0" collapsedLevelsAreSubtotals="1" fieldPosition="0"/>
    </format>
    <format dxfId="26">
      <pivotArea dataOnly="0" labelOnly="1" fieldPosition="0">
        <references count="1">
          <reference field="1" count="0"/>
        </references>
      </pivotArea>
    </format>
    <format dxfId="25">
      <pivotArea dataOnly="0" labelOnly="1" grandRow="1" outline="0" fieldPosition="0"/>
    </format>
    <format dxfId="24">
      <pivotArea field="0" dataOnly="0" labelOnly="1" grandCol="1" outline="0" offset="IV256" axis="axisCol" fieldPosition="0">
        <references count="1">
          <reference field="4294967294" count="1" selected="0">
            <x v="0"/>
          </reference>
        </references>
      </pivotArea>
    </format>
    <format dxfId="23">
      <pivotArea field="0" dataOnly="0" labelOnly="1" grandCol="1" outline="0" offset="IV256" axis="axisCol" fieldPosition="0">
        <references count="1">
          <reference field="4294967294" count="1" selected="0">
            <x v="1"/>
          </reference>
        </references>
      </pivotArea>
    </format>
    <format dxfId="22">
      <pivotArea field="0" dataOnly="0" labelOnly="1" grandCol="1" outline="0" offset="IV256" axis="axisCol" fieldPosition="0">
        <references count="1">
          <reference field="4294967294" count="1" selected="0">
            <x v="2"/>
          </reference>
        </references>
      </pivotArea>
    </format>
    <format dxfId="21">
      <pivotArea dataOnly="0" labelOnly="1" outline="0" fieldPosition="0">
        <references count="2">
          <reference field="4294967294" count="3">
            <x v="0"/>
            <x v="1"/>
            <x v="2"/>
          </reference>
          <reference field="0" count="1" selected="0">
            <x v="0"/>
          </reference>
        </references>
      </pivotArea>
    </format>
    <format dxfId="20">
      <pivotArea dataOnly="0" labelOnly="1" outline="0" fieldPosition="0">
        <references count="2">
          <reference field="4294967294" count="3">
            <x v="0"/>
            <x v="1"/>
            <x v="2"/>
          </reference>
          <reference field="0" count="1" selected="0">
            <x v="1"/>
          </reference>
        </references>
      </pivotArea>
    </format>
    <format dxfId="19">
      <pivotArea dataOnly="0" labelOnly="1" outline="0" fieldPosition="0">
        <references count="2">
          <reference field="4294967294" count="3">
            <x v="0"/>
            <x v="1"/>
            <x v="2"/>
          </reference>
          <reference field="0" count="1" selected="0">
            <x v="2"/>
          </reference>
        </references>
      </pivotArea>
    </format>
    <format dxfId="18">
      <pivotArea type="all" dataOnly="0" outline="0" fieldPosition="0"/>
    </format>
    <format dxfId="17">
      <pivotArea outline="0" collapsedLevelsAreSubtotals="1" fieldPosition="0"/>
    </format>
    <format dxfId="16">
      <pivotArea type="origin" dataOnly="0" labelOnly="1" outline="0" fieldPosition="0"/>
    </format>
    <format dxfId="15">
      <pivotArea field="0" type="button" dataOnly="0" labelOnly="1" outline="0" axis="axisCol" fieldPosition="0"/>
    </format>
    <format dxfId="14">
      <pivotArea field="-2" type="button" dataOnly="0" labelOnly="1" outline="0" axis="axisCol" fieldPosition="1"/>
    </format>
    <format dxfId="13">
      <pivotArea type="topRight" dataOnly="0" labelOnly="1" outline="0" fieldPosition="0"/>
    </format>
    <format dxfId="12">
      <pivotArea field="1" type="button" dataOnly="0" labelOnly="1" outline="0" axis="axisRow" fieldPosition="0"/>
    </format>
    <format dxfId="11">
      <pivotArea dataOnly="0" labelOnly="1" fieldPosition="0">
        <references count="1">
          <reference field="1" count="0"/>
        </references>
      </pivotArea>
    </format>
    <format dxfId="10">
      <pivotArea dataOnly="0" labelOnly="1" grandRow="1" outline="0" fieldPosition="0"/>
    </format>
    <format dxfId="9">
      <pivotArea dataOnly="0" labelOnly="1" fieldPosition="0">
        <references count="1">
          <reference field="0" count="0"/>
        </references>
      </pivotArea>
    </format>
    <format dxfId="8">
      <pivotArea field="0" dataOnly="0" labelOnly="1" grandCol="1" outline="0" axis="axisCol" fieldPosition="0">
        <references count="1">
          <reference field="4294967294" count="1" selected="0">
            <x v="0"/>
          </reference>
        </references>
      </pivotArea>
    </format>
    <format dxfId="7">
      <pivotArea field="0" dataOnly="0" labelOnly="1" grandCol="1" outline="0" axis="axisCol" fieldPosition="0">
        <references count="1">
          <reference field="4294967294" count="1" selected="0">
            <x v="1"/>
          </reference>
        </references>
      </pivotArea>
    </format>
    <format dxfId="6">
      <pivotArea field="0" dataOnly="0" labelOnly="1" grandCol="1" outline="0" axis="axisCol" fieldPosition="0">
        <references count="1">
          <reference field="4294967294" count="1" selected="0">
            <x v="2"/>
          </reference>
        </references>
      </pivotArea>
    </format>
    <format dxfId="5">
      <pivotArea dataOnly="0" labelOnly="1" outline="0" fieldPosition="0">
        <references count="2">
          <reference field="4294967294" count="3">
            <x v="0"/>
            <x v="1"/>
            <x v="2"/>
          </reference>
          <reference field="0" count="1" selected="0">
            <x v="0"/>
          </reference>
        </references>
      </pivotArea>
    </format>
    <format dxfId="4">
      <pivotArea dataOnly="0" labelOnly="1" outline="0" fieldPosition="0">
        <references count="2">
          <reference field="4294967294" count="3">
            <x v="0"/>
            <x v="1"/>
            <x v="2"/>
          </reference>
          <reference field="0" count="1" selected="0">
            <x v="1"/>
          </reference>
        </references>
      </pivotArea>
    </format>
    <format dxfId="3">
      <pivotArea dataOnly="0" labelOnly="1" outline="0" fieldPosition="0">
        <references count="2">
          <reference field="4294967294" count="3">
            <x v="0"/>
            <x v="1"/>
            <x v="2"/>
          </reference>
          <reference field="0" count="1" selected="0">
            <x v="2"/>
          </reference>
        </references>
      </pivotArea>
    </format>
  </formats>
  <conditionalFormats count="12">
    <conditionalFormat type="all" priority="12">
      <pivotAreas count="1">
        <pivotArea type="data" collapsedLevelsAreSubtotals="1" fieldPosition="0">
          <references count="3">
            <reference field="4294967294" count="1" selected="0">
              <x v="0"/>
            </reference>
            <reference field="0" count="1" selected="0">
              <x v="0"/>
            </reference>
            <reference field="1" count="9">
              <x v="0"/>
              <x v="1"/>
              <x v="2"/>
              <x v="3"/>
              <x v="4"/>
              <x v="5"/>
              <x v="6"/>
              <x v="7"/>
              <x v="8"/>
            </reference>
          </references>
        </pivotArea>
      </pivotAreas>
    </conditionalFormat>
    <conditionalFormat type="all" priority="11">
      <pivotAreas count="1">
        <pivotArea type="data" collapsedLevelsAreSubtotals="1" fieldPosition="0">
          <references count="3">
            <reference field="4294967294" count="1" selected="0">
              <x v="1"/>
            </reference>
            <reference field="0" count="1" selected="0">
              <x v="0"/>
            </reference>
            <reference field="1" count="9">
              <x v="0"/>
              <x v="1"/>
              <x v="2"/>
              <x v="3"/>
              <x v="4"/>
              <x v="5"/>
              <x v="6"/>
              <x v="7"/>
              <x v="8"/>
            </reference>
          </references>
        </pivotArea>
      </pivotAreas>
    </conditionalFormat>
    <conditionalFormat type="all" priority="10">
      <pivotAreas count="1">
        <pivotArea type="data" collapsedLevelsAreSubtotals="1" fieldPosition="0">
          <references count="3">
            <reference field="4294967294" count="1" selected="0">
              <x v="2"/>
            </reference>
            <reference field="0" count="1" selected="0">
              <x v="0"/>
            </reference>
            <reference field="1" count="9">
              <x v="0"/>
              <x v="1"/>
              <x v="2"/>
              <x v="3"/>
              <x v="4"/>
              <x v="5"/>
              <x v="6"/>
              <x v="7"/>
              <x v="8"/>
            </reference>
          </references>
        </pivotArea>
      </pivotAreas>
    </conditionalFormat>
    <conditionalFormat type="all" priority="9">
      <pivotAreas count="1">
        <pivotArea type="data" collapsedLevelsAreSubtotals="1" fieldPosition="0">
          <references count="3">
            <reference field="4294967294" count="1" selected="0">
              <x v="0"/>
            </reference>
            <reference field="0" count="1" selected="0">
              <x v="1"/>
            </reference>
            <reference field="1" count="9">
              <x v="0"/>
              <x v="1"/>
              <x v="2"/>
              <x v="3"/>
              <x v="4"/>
              <x v="5"/>
              <x v="6"/>
              <x v="7"/>
              <x v="8"/>
            </reference>
          </references>
        </pivotArea>
      </pivotAreas>
    </conditionalFormat>
    <conditionalFormat type="all" priority="8">
      <pivotAreas count="1">
        <pivotArea type="data" collapsedLevelsAreSubtotals="1" fieldPosition="0">
          <references count="3">
            <reference field="4294967294" count="1" selected="0">
              <x v="1"/>
            </reference>
            <reference field="0" count="1" selected="0">
              <x v="1"/>
            </reference>
            <reference field="1" count="9">
              <x v="0"/>
              <x v="1"/>
              <x v="2"/>
              <x v="3"/>
              <x v="4"/>
              <x v="5"/>
              <x v="6"/>
              <x v="7"/>
              <x v="8"/>
            </reference>
          </references>
        </pivotArea>
      </pivotAreas>
    </conditionalFormat>
    <conditionalFormat type="all" priority="7">
      <pivotAreas count="1">
        <pivotArea type="data" collapsedLevelsAreSubtotals="1" fieldPosition="0">
          <references count="3">
            <reference field="4294967294" count="1" selected="0">
              <x v="2"/>
            </reference>
            <reference field="0" count="1" selected="0">
              <x v="1"/>
            </reference>
            <reference field="1" count="9">
              <x v="0"/>
              <x v="1"/>
              <x v="2"/>
              <x v="3"/>
              <x v="4"/>
              <x v="5"/>
              <x v="6"/>
              <x v="7"/>
              <x v="8"/>
            </reference>
          </references>
        </pivotArea>
      </pivotAreas>
    </conditionalFormat>
    <conditionalFormat type="all" priority="6">
      <pivotAreas count="1">
        <pivotArea type="data" collapsedLevelsAreSubtotals="1" fieldPosition="0">
          <references count="3">
            <reference field="4294967294" count="1" selected="0">
              <x v="0"/>
            </reference>
            <reference field="0" count="1" selected="0">
              <x v="2"/>
            </reference>
            <reference field="1" count="9">
              <x v="0"/>
              <x v="1"/>
              <x v="2"/>
              <x v="3"/>
              <x v="4"/>
              <x v="5"/>
              <x v="6"/>
              <x v="7"/>
              <x v="8"/>
            </reference>
          </references>
        </pivotArea>
      </pivotAreas>
    </conditionalFormat>
    <conditionalFormat type="all" priority="5">
      <pivotAreas count="1">
        <pivotArea type="data" collapsedLevelsAreSubtotals="1" fieldPosition="0">
          <references count="3">
            <reference field="4294967294" count="1" selected="0">
              <x v="1"/>
            </reference>
            <reference field="0" count="1" selected="0">
              <x v="2"/>
            </reference>
            <reference field="1" count="9">
              <x v="0"/>
              <x v="1"/>
              <x v="2"/>
              <x v="3"/>
              <x v="4"/>
              <x v="5"/>
              <x v="6"/>
              <x v="7"/>
              <x v="8"/>
            </reference>
          </references>
        </pivotArea>
      </pivotAreas>
    </conditionalFormat>
    <conditionalFormat type="all" priority="4">
      <pivotAreas count="1">
        <pivotArea type="data" collapsedLevelsAreSubtotals="1" fieldPosition="0">
          <references count="3">
            <reference field="4294967294" count="1" selected="0">
              <x v="2"/>
            </reference>
            <reference field="0" count="1" selected="0">
              <x v="2"/>
            </reference>
            <reference field="1" count="9">
              <x v="0"/>
              <x v="1"/>
              <x v="2"/>
              <x v="3"/>
              <x v="4"/>
              <x v="5"/>
              <x v="6"/>
              <x v="7"/>
              <x v="8"/>
            </reference>
          </references>
        </pivotArea>
      </pivotAreas>
    </conditionalFormat>
    <conditionalFormat type="all" priority="3">
      <pivotAreas count="1">
        <pivotArea type="data" grandCol="1" collapsedLevelsAreSubtotals="1" fieldPosition="0">
          <references count="2">
            <reference field="4294967294" count="1" selected="0">
              <x v="0"/>
            </reference>
            <reference field="1" count="9">
              <x v="0"/>
              <x v="1"/>
              <x v="2"/>
              <x v="3"/>
              <x v="4"/>
              <x v="5"/>
              <x v="6"/>
              <x v="7"/>
              <x v="8"/>
            </reference>
          </references>
        </pivotArea>
      </pivotAreas>
    </conditionalFormat>
    <conditionalFormat type="all" priority="2">
      <pivotAreas count="1">
        <pivotArea type="data" grandCol="1" collapsedLevelsAreSubtotals="1" fieldPosition="0">
          <references count="2">
            <reference field="4294967294" count="1" selected="0">
              <x v="1"/>
            </reference>
            <reference field="1" count="9">
              <x v="0"/>
              <x v="1"/>
              <x v="2"/>
              <x v="3"/>
              <x v="4"/>
              <x v="5"/>
              <x v="6"/>
              <x v="7"/>
              <x v="8"/>
            </reference>
          </references>
        </pivotArea>
      </pivotAreas>
    </conditionalFormat>
    <conditionalFormat type="all" priority="1">
      <pivotAreas count="1">
        <pivotArea type="data" grandCol="1" collapsedLevelsAreSubtotals="1" fieldPosition="0">
          <references count="2">
            <reference field="4294967294" count="1" selected="0">
              <x v="2"/>
            </reference>
            <reference field="1" count="9">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D3EE7F-4692-4D0B-8518-1B564847BA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15" firstHeaderRow="1" firstDataRow="3" firstDataCol="1"/>
  <pivotFields count="23">
    <pivotField axis="axisCol" showAll="0">
      <items count="4">
        <item x="0"/>
        <item x="1"/>
        <item x="2"/>
        <item t="default"/>
      </items>
    </pivotField>
    <pivotField axis="axisRow" showAll="0" sortType="ascending">
      <items count="10">
        <item x="1"/>
        <item x="6"/>
        <item x="5"/>
        <item x="4"/>
        <item x="8"/>
        <item x="7"/>
        <item x="3"/>
        <item x="0"/>
        <item x="2"/>
        <item t="default"/>
      </items>
      <autoSortScope>
        <pivotArea dataOnly="0" outline="0" fieldPosition="0">
          <references count="2">
            <reference field="4294967294" count="1" selected="0">
              <x v="0"/>
            </reference>
            <reference field="0" count="1" selected="0">
              <x v="0"/>
            </reference>
          </references>
        </pivotArea>
      </autoSortScope>
    </pivotField>
    <pivotField showAll="0"/>
    <pivotField showAll="0"/>
    <pivotField showAll="0"/>
    <pivotField showAll="0"/>
    <pivotField dataField="1" showAll="0"/>
    <pivotField showAll="0"/>
    <pivotField showAll="0"/>
    <pivotField dataField="1" showAll="0"/>
    <pivotField dataField="1" showAll="0"/>
    <pivotField showAll="0"/>
    <pivotField showAll="0"/>
    <pivotField showAll="0"/>
    <pivotField showAll="0"/>
    <pivotField numFmtId="164" showAll="0"/>
    <pivotField numFmtId="164" showAll="0"/>
    <pivotField dataField="1" numFmtId="164" showAll="0"/>
    <pivotField numFmtId="164" showAll="0"/>
    <pivotField numFmtId="164" showAll="0"/>
    <pivotField numFmtId="10" showAll="0"/>
    <pivotField numFmtId="10" showAll="0"/>
    <pivotField numFmtId="10" showAll="0"/>
  </pivotFields>
  <rowFields count="1">
    <field x="1"/>
  </rowFields>
  <rowItems count="10">
    <i>
      <x v="4"/>
    </i>
    <i>
      <x v="5"/>
    </i>
    <i>
      <x/>
    </i>
    <i>
      <x v="6"/>
    </i>
    <i>
      <x v="3"/>
    </i>
    <i>
      <x v="8"/>
    </i>
    <i>
      <x v="1"/>
    </i>
    <i>
      <x v="2"/>
    </i>
    <i>
      <x v="7"/>
    </i>
    <i t="grand">
      <x/>
    </i>
  </rowItems>
  <colFields count="2">
    <field x="0"/>
    <field x="-2"/>
  </colFields>
  <colItems count="16">
    <i>
      <x/>
      <x/>
    </i>
    <i r="1" i="1">
      <x v="1"/>
    </i>
    <i r="1" i="2">
      <x v="2"/>
    </i>
    <i r="1" i="3">
      <x v="3"/>
    </i>
    <i>
      <x v="1"/>
      <x/>
    </i>
    <i r="1" i="1">
      <x v="1"/>
    </i>
    <i r="1" i="2">
      <x v="2"/>
    </i>
    <i r="1" i="3">
      <x v="3"/>
    </i>
    <i>
      <x v="2"/>
      <x/>
    </i>
    <i r="1" i="1">
      <x v="1"/>
    </i>
    <i r="1" i="2">
      <x v="2"/>
    </i>
    <i r="1" i="3">
      <x v="3"/>
    </i>
    <i t="grand">
      <x/>
    </i>
    <i t="grand" i="1">
      <x/>
    </i>
    <i t="grand" i="2">
      <x/>
    </i>
    <i t="grand" i="3">
      <x/>
    </i>
  </colItems>
  <dataFields count="4">
    <dataField name="Sum of Minutes" fld="6" baseField="0" baseItem="0"/>
    <dataField name="Sum of G+A" fld="9" baseField="0" baseItem="0"/>
    <dataField name="Sum of G-PK" fld="10" baseField="0" baseItem="0"/>
    <dataField name="Average of G+A/90" fld="17" subtotal="average" baseField="0" baseItem="0" numFmtId="164"/>
  </dataFields>
  <formats count="53">
    <format dxfId="86">
      <pivotArea collapsedLevelsAreSubtotals="1" fieldPosition="0">
        <references count="1">
          <reference field="1" count="0"/>
        </references>
      </pivotArea>
    </format>
    <format dxfId="85">
      <pivotArea dataOnly="0" labelOnly="1" fieldPosition="0">
        <references count="1">
          <reference field="1" count="0"/>
        </references>
      </pivotArea>
    </format>
    <format dxfId="84">
      <pivotArea field="1" type="button" dataOnly="0" labelOnly="1" outline="0" axis="axisRow" fieldPosition="0"/>
    </format>
    <format dxfId="83">
      <pivotArea field="0" dataOnly="0" labelOnly="1" grandCol="1" outline="0" offset="IV256" axis="axisCol" fieldPosition="0">
        <references count="1">
          <reference field="4294967294" count="1" selected="0">
            <x v="0"/>
          </reference>
        </references>
      </pivotArea>
    </format>
    <format dxfId="82">
      <pivotArea field="0" dataOnly="0" labelOnly="1" grandCol="1" outline="0" offset="IV256" axis="axisCol" fieldPosition="0">
        <references count="1">
          <reference field="4294967294" count="1" selected="0">
            <x v="1"/>
          </reference>
        </references>
      </pivotArea>
    </format>
    <format dxfId="81">
      <pivotArea field="0" dataOnly="0" labelOnly="1" grandCol="1" outline="0" offset="IV256" axis="axisCol" fieldPosition="0">
        <references count="1">
          <reference field="4294967294" count="1" selected="0">
            <x v="2"/>
          </reference>
        </references>
      </pivotArea>
    </format>
    <format dxfId="80">
      <pivotArea field="0" dataOnly="0" labelOnly="1" grandCol="1" outline="0" offset="IV256" axis="axisCol" fieldPosition="0">
        <references count="1">
          <reference field="4294967294" count="1" selected="0">
            <x v="3"/>
          </reference>
        </references>
      </pivotArea>
    </format>
    <format dxfId="79">
      <pivotArea dataOnly="0" labelOnly="1" outline="0" fieldPosition="0">
        <references count="2">
          <reference field="4294967294" count="4">
            <x v="0"/>
            <x v="1"/>
            <x v="2"/>
            <x v="3"/>
          </reference>
          <reference field="0" count="1" selected="0">
            <x v="0"/>
          </reference>
        </references>
      </pivotArea>
    </format>
    <format dxfId="78">
      <pivotArea dataOnly="0" labelOnly="1" outline="0" fieldPosition="0">
        <references count="2">
          <reference field="4294967294" count="4">
            <x v="0"/>
            <x v="1"/>
            <x v="2"/>
            <x v="3"/>
          </reference>
          <reference field="0" count="1" selected="0">
            <x v="1"/>
          </reference>
        </references>
      </pivotArea>
    </format>
    <format dxfId="77">
      <pivotArea dataOnly="0" labelOnly="1" outline="0" fieldPosition="0">
        <references count="2">
          <reference field="4294967294" count="4">
            <x v="0"/>
            <x v="1"/>
            <x v="2"/>
            <x v="3"/>
          </reference>
          <reference field="0" count="1" selected="0">
            <x v="2"/>
          </reference>
        </references>
      </pivotArea>
    </format>
    <format dxfId="76">
      <pivotArea dataOnly="0" labelOnly="1" fieldPosition="0">
        <references count="1">
          <reference field="0" count="1">
            <x v="0"/>
          </reference>
        </references>
      </pivotArea>
    </format>
    <format dxfId="75">
      <pivotArea dataOnly="0" labelOnly="1" fieldPosition="0">
        <references count="1">
          <reference field="0" count="1">
            <x v="1"/>
          </reference>
        </references>
      </pivotArea>
    </format>
    <format dxfId="74">
      <pivotArea dataOnly="0" labelOnly="1" outline="0" fieldPosition="0">
        <references count="2">
          <reference field="4294967294" count="4">
            <x v="0"/>
            <x v="1"/>
            <x v="2"/>
            <x v="3"/>
          </reference>
          <reference field="0" count="1" selected="0">
            <x v="1"/>
          </reference>
        </references>
      </pivotArea>
    </format>
    <format dxfId="73">
      <pivotArea dataOnly="0" labelOnly="1" fieldPosition="0">
        <references count="1">
          <reference field="0" count="1">
            <x v="2"/>
          </reference>
        </references>
      </pivotArea>
    </format>
    <format dxfId="72">
      <pivotArea field="0" dataOnly="0" labelOnly="1" grandCol="1" outline="0" offset="IV1" axis="axisCol" fieldPosition="0">
        <references count="1">
          <reference field="4294967294" count="1" selected="0">
            <x v="0"/>
          </reference>
        </references>
      </pivotArea>
    </format>
    <format dxfId="71">
      <pivotArea field="0" dataOnly="0" labelOnly="1" grandCol="1" outline="0" offset="IV1" axis="axisCol" fieldPosition="0">
        <references count="1">
          <reference field="4294967294" count="1" selected="0">
            <x v="1"/>
          </reference>
        </references>
      </pivotArea>
    </format>
    <format dxfId="70">
      <pivotArea field="0" dataOnly="0" labelOnly="1" grandCol="1" outline="0" offset="IV1" axis="axisCol" fieldPosition="0">
        <references count="1">
          <reference field="4294967294" count="1" selected="0">
            <x v="2"/>
          </reference>
        </references>
      </pivotArea>
    </format>
    <format dxfId="69">
      <pivotArea field="0" dataOnly="0" labelOnly="1" grandCol="1" outline="0" offset="IV1" axis="axisCol" fieldPosition="0">
        <references count="1">
          <reference field="4294967294" count="1" selected="0">
            <x v="3"/>
          </reference>
        </references>
      </pivotArea>
    </format>
    <format dxfId="68">
      <pivotArea type="all" dataOnly="0" outline="0" fieldPosition="0"/>
    </format>
    <format dxfId="67">
      <pivotArea outline="0" collapsedLevelsAreSubtotals="1" fieldPosition="0"/>
    </format>
    <format dxfId="66">
      <pivotArea type="origin" dataOnly="0" labelOnly="1" outline="0" fieldPosition="0"/>
    </format>
    <format dxfId="65">
      <pivotArea field="0" type="button" dataOnly="0" labelOnly="1" outline="0" axis="axisCol" fieldPosition="0"/>
    </format>
    <format dxfId="64">
      <pivotArea field="-2" type="button" dataOnly="0" labelOnly="1" outline="0" axis="axisCol" fieldPosition="1"/>
    </format>
    <format dxfId="63">
      <pivotArea type="topRight" dataOnly="0" labelOnly="1" outline="0" fieldPosition="0"/>
    </format>
    <format dxfId="62">
      <pivotArea field="1" type="button" dataOnly="0" labelOnly="1" outline="0" axis="axisRow" fieldPosition="0"/>
    </format>
    <format dxfId="61">
      <pivotArea dataOnly="0" labelOnly="1" fieldPosition="0">
        <references count="1">
          <reference field="1" count="0"/>
        </references>
      </pivotArea>
    </format>
    <format dxfId="60">
      <pivotArea dataOnly="0" labelOnly="1" grandRow="1" outline="0" fieldPosition="0"/>
    </format>
    <format dxfId="59">
      <pivotArea dataOnly="0" labelOnly="1" fieldPosition="0">
        <references count="1">
          <reference field="0" count="0"/>
        </references>
      </pivotArea>
    </format>
    <format dxfId="58">
      <pivotArea field="0" dataOnly="0" labelOnly="1" grandCol="1" outline="0" axis="axisCol" fieldPosition="0">
        <references count="1">
          <reference field="4294967294" count="1" selected="0">
            <x v="0"/>
          </reference>
        </references>
      </pivotArea>
    </format>
    <format dxfId="57">
      <pivotArea field="0" dataOnly="0" labelOnly="1" grandCol="1" outline="0" axis="axisCol" fieldPosition="0">
        <references count="1">
          <reference field="4294967294" count="1" selected="0">
            <x v="1"/>
          </reference>
        </references>
      </pivotArea>
    </format>
    <format dxfId="56">
      <pivotArea field="0" dataOnly="0" labelOnly="1" grandCol="1" outline="0" axis="axisCol" fieldPosition="0">
        <references count="1">
          <reference field="4294967294" count="1" selected="0">
            <x v="2"/>
          </reference>
        </references>
      </pivotArea>
    </format>
    <format dxfId="55">
      <pivotArea field="0" dataOnly="0" labelOnly="1" grandCol="1" outline="0" axis="axisCol" fieldPosition="0">
        <references count="1">
          <reference field="4294967294" count="1" selected="0">
            <x v="3"/>
          </reference>
        </references>
      </pivotArea>
    </format>
    <format dxfId="54">
      <pivotArea dataOnly="0" labelOnly="1" outline="0" fieldPosition="0">
        <references count="2">
          <reference field="4294967294" count="4">
            <x v="0"/>
            <x v="1"/>
            <x v="2"/>
            <x v="3"/>
          </reference>
          <reference field="0" count="1" selected="0">
            <x v="0"/>
          </reference>
        </references>
      </pivotArea>
    </format>
    <format dxfId="53">
      <pivotArea dataOnly="0" labelOnly="1" outline="0" fieldPosition="0">
        <references count="2">
          <reference field="4294967294" count="4">
            <x v="0"/>
            <x v="1"/>
            <x v="2"/>
            <x v="3"/>
          </reference>
          <reference field="0" count="1" selected="0">
            <x v="1"/>
          </reference>
        </references>
      </pivotArea>
    </format>
    <format dxfId="52">
      <pivotArea dataOnly="0" labelOnly="1" outline="0" fieldPosition="0">
        <references count="2">
          <reference field="4294967294" count="4">
            <x v="0"/>
            <x v="1"/>
            <x v="2"/>
            <x v="3"/>
          </reference>
          <reference field="0" count="1" selected="0">
            <x v="2"/>
          </reference>
        </references>
      </pivotArea>
    </format>
    <format dxfId="51">
      <pivotArea type="all" dataOnly="0" outline="0" fieldPosition="0"/>
    </format>
    <format dxfId="50">
      <pivotArea outline="0" collapsedLevelsAreSubtotals="1" fieldPosition="0"/>
    </format>
    <format dxfId="49">
      <pivotArea field="0" dataOnly="0" labelOnly="1" grandCol="1" outline="0" axis="axisCol" fieldPosition="0">
        <references count="1">
          <reference field="4294967294" count="1" selected="0">
            <x v="0"/>
          </reference>
        </references>
      </pivotArea>
    </format>
    <format dxfId="48">
      <pivotArea field="0" dataOnly="0" labelOnly="1" grandCol="1" outline="0" axis="axisCol" fieldPosition="0">
        <references count="1">
          <reference field="4294967294" count="1" selected="0">
            <x v="1"/>
          </reference>
        </references>
      </pivotArea>
    </format>
    <format dxfId="47">
      <pivotArea field="0" dataOnly="0" labelOnly="1" grandCol="1" outline="0" axis="axisCol" fieldPosition="0">
        <references count="1">
          <reference field="4294967294" count="1" selected="0">
            <x v="2"/>
          </reference>
        </references>
      </pivotArea>
    </format>
    <format dxfId="46">
      <pivotArea field="0" dataOnly="0" labelOnly="1" grandCol="1" outline="0" axis="axisCol" fieldPosition="0">
        <references count="1">
          <reference field="4294967294" count="1" selected="0">
            <x v="3"/>
          </reference>
        </references>
      </pivotArea>
    </format>
    <format dxfId="45">
      <pivotArea outline="0" collapsedLevelsAreSubtotals="1" fieldPosition="0">
        <references count="2">
          <reference field="4294967294" count="4" selected="0">
            <x v="0"/>
            <x v="1"/>
            <x v="2"/>
            <x v="3"/>
          </reference>
          <reference field="0" count="0" selected="0"/>
        </references>
      </pivotArea>
    </format>
    <format dxfId="44">
      <pivotArea type="origin" dataOnly="0" labelOnly="1" outline="0" fieldPosition="0"/>
    </format>
    <format dxfId="43">
      <pivotArea field="0" type="button" dataOnly="0" labelOnly="1" outline="0" axis="axisCol" fieldPosition="0"/>
    </format>
    <format dxfId="42">
      <pivotArea field="-2" type="button" dataOnly="0" labelOnly="1" outline="0" axis="axisCol" fieldPosition="1"/>
    </format>
    <format dxfId="41">
      <pivotArea type="topRight" dataOnly="0" labelOnly="1" outline="0" fieldPosition="0"/>
    </format>
    <format dxfId="40">
      <pivotArea field="1" type="button" dataOnly="0" labelOnly="1" outline="0" axis="axisRow" fieldPosition="0"/>
    </format>
    <format dxfId="39">
      <pivotArea dataOnly="0" labelOnly="1" fieldPosition="0">
        <references count="1">
          <reference field="1" count="0"/>
        </references>
      </pivotArea>
    </format>
    <format dxfId="38">
      <pivotArea dataOnly="0" labelOnly="1" grandRow="1" outline="0" fieldPosition="0"/>
    </format>
    <format dxfId="37">
      <pivotArea dataOnly="0" labelOnly="1" fieldPosition="0">
        <references count="1">
          <reference field="0" count="0"/>
        </references>
      </pivotArea>
    </format>
    <format dxfId="36">
      <pivotArea dataOnly="0" labelOnly="1" outline="0" fieldPosition="0">
        <references count="2">
          <reference field="4294967294" count="4">
            <x v="0"/>
            <x v="1"/>
            <x v="2"/>
            <x v="3"/>
          </reference>
          <reference field="0" count="1" selected="0">
            <x v="0"/>
          </reference>
        </references>
      </pivotArea>
    </format>
    <format dxfId="35">
      <pivotArea dataOnly="0" labelOnly="1" outline="0" fieldPosition="0">
        <references count="2">
          <reference field="4294967294" count="4">
            <x v="0"/>
            <x v="1"/>
            <x v="2"/>
            <x v="3"/>
          </reference>
          <reference field="0" count="1" selected="0">
            <x v="1"/>
          </reference>
        </references>
      </pivotArea>
    </format>
    <format dxfId="34">
      <pivotArea dataOnly="0" labelOnly="1" outline="0" fieldPosition="0">
        <references count="2">
          <reference field="4294967294" count="4">
            <x v="0"/>
            <x v="1"/>
            <x v="2"/>
            <x v="3"/>
          </reference>
          <reference field="0" count="1" selected="0">
            <x v="2"/>
          </reference>
        </references>
      </pivotArea>
    </format>
  </formats>
  <conditionalFormats count="16">
    <conditionalFormat type="all" priority="28">
      <pivotAreas count="1">
        <pivotArea type="data" collapsedLevelsAreSubtotals="1" fieldPosition="0">
          <references count="3">
            <reference field="4294967294" count="1" selected="0">
              <x v="0"/>
            </reference>
            <reference field="0" count="1" selected="0">
              <x v="0"/>
            </reference>
            <reference field="1" count="9">
              <x v="0"/>
              <x v="1"/>
              <x v="2"/>
              <x v="3"/>
              <x v="4"/>
              <x v="5"/>
              <x v="6"/>
              <x v="7"/>
              <x v="8"/>
            </reference>
          </references>
        </pivotArea>
      </pivotAreas>
    </conditionalFormat>
    <conditionalFormat type="all" priority="27">
      <pivotAreas count="1">
        <pivotArea type="data" collapsedLevelsAreSubtotals="1" fieldPosition="0">
          <references count="3">
            <reference field="4294967294" count="1" selected="0">
              <x v="1"/>
            </reference>
            <reference field="0" count="1" selected="0">
              <x v="0"/>
            </reference>
            <reference field="1" count="7">
              <x v="0"/>
              <x v="1"/>
              <x v="2"/>
              <x v="3"/>
              <x v="6"/>
              <x v="7"/>
              <x v="8"/>
            </reference>
          </references>
        </pivotArea>
      </pivotAreas>
    </conditionalFormat>
    <conditionalFormat type="all" priority="26">
      <pivotAreas count="1">
        <pivotArea type="data" collapsedLevelsAreSubtotals="1" fieldPosition="0">
          <references count="3">
            <reference field="4294967294" count="1" selected="0">
              <x v="2"/>
            </reference>
            <reference field="0" count="1" selected="0">
              <x v="0"/>
            </reference>
            <reference field="1" count="7">
              <x v="0"/>
              <x v="1"/>
              <x v="2"/>
              <x v="3"/>
              <x v="6"/>
              <x v="7"/>
              <x v="8"/>
            </reference>
          </references>
        </pivotArea>
      </pivotAreas>
    </conditionalFormat>
    <conditionalFormat type="all" priority="25">
      <pivotAreas count="1">
        <pivotArea type="data" collapsedLevelsAreSubtotals="1" fieldPosition="0">
          <references count="3">
            <reference field="4294967294" count="1" selected="0">
              <x v="3"/>
            </reference>
            <reference field="0" count="1" selected="0">
              <x v="0"/>
            </reference>
            <reference field="1" count="7">
              <x v="0"/>
              <x v="1"/>
              <x v="2"/>
              <x v="3"/>
              <x v="6"/>
              <x v="7"/>
              <x v="8"/>
            </reference>
          </references>
        </pivotArea>
      </pivotAreas>
    </conditionalFormat>
    <conditionalFormat type="all" priority="24">
      <pivotAreas count="1">
        <pivotArea type="data" collapsedLevelsAreSubtotals="1" fieldPosition="0">
          <references count="3">
            <reference field="4294967294" count="1" selected="0">
              <x v="0"/>
            </reference>
            <reference field="0" count="1" selected="0">
              <x v="1"/>
            </reference>
            <reference field="1" count="8">
              <x v="0"/>
              <x v="1"/>
              <x v="2"/>
              <x v="3"/>
              <x v="5"/>
              <x v="6"/>
              <x v="7"/>
              <x v="8"/>
            </reference>
          </references>
        </pivotArea>
      </pivotAreas>
    </conditionalFormat>
    <conditionalFormat type="all" priority="23">
      <pivotAreas count="1">
        <pivotArea type="data" collapsedLevelsAreSubtotals="1" fieldPosition="0">
          <references count="3">
            <reference field="4294967294" count="1" selected="0">
              <x v="1"/>
            </reference>
            <reference field="0" count="1" selected="0">
              <x v="1"/>
            </reference>
            <reference field="1" count="8">
              <x v="0"/>
              <x v="1"/>
              <x v="2"/>
              <x v="3"/>
              <x v="5"/>
              <x v="6"/>
              <x v="7"/>
              <x v="8"/>
            </reference>
          </references>
        </pivotArea>
      </pivotAreas>
    </conditionalFormat>
    <conditionalFormat type="all" priority="22">
      <pivotAreas count="1">
        <pivotArea type="data" collapsedLevelsAreSubtotals="1" fieldPosition="0">
          <references count="3">
            <reference field="4294967294" count="1" selected="0">
              <x v="2"/>
            </reference>
            <reference field="0" count="1" selected="0">
              <x v="1"/>
            </reference>
            <reference field="1" count="8">
              <x v="0"/>
              <x v="1"/>
              <x v="2"/>
              <x v="3"/>
              <x v="5"/>
              <x v="6"/>
              <x v="7"/>
              <x v="8"/>
            </reference>
          </references>
        </pivotArea>
      </pivotAreas>
    </conditionalFormat>
    <conditionalFormat type="all" priority="21">
      <pivotAreas count="1">
        <pivotArea type="data" collapsedLevelsAreSubtotals="1" fieldPosition="0">
          <references count="3">
            <reference field="4294967294" count="1" selected="0">
              <x v="3"/>
            </reference>
            <reference field="0" count="1" selected="0">
              <x v="1"/>
            </reference>
            <reference field="1" count="8">
              <x v="0"/>
              <x v="1"/>
              <x v="2"/>
              <x v="3"/>
              <x v="5"/>
              <x v="6"/>
              <x v="7"/>
              <x v="8"/>
            </reference>
          </references>
        </pivotArea>
      </pivotAreas>
    </conditionalFormat>
    <conditionalFormat type="all" priority="20">
      <pivotAreas count="1">
        <pivotArea type="data" collapsedLevelsAreSubtotals="1" fieldPosition="0">
          <references count="3">
            <reference field="4294967294" count="1" selected="0">
              <x v="0"/>
            </reference>
            <reference field="0" count="1" selected="0">
              <x v="2"/>
            </reference>
            <reference field="1" count="9">
              <x v="0"/>
              <x v="1"/>
              <x v="2"/>
              <x v="3"/>
              <x v="4"/>
              <x v="5"/>
              <x v="6"/>
              <x v="7"/>
              <x v="8"/>
            </reference>
          </references>
        </pivotArea>
      </pivotAreas>
    </conditionalFormat>
    <conditionalFormat type="all" priority="19">
      <pivotAreas count="1">
        <pivotArea type="data" collapsedLevelsAreSubtotals="1" fieldPosition="0">
          <references count="3">
            <reference field="4294967294" count="1" selected="0">
              <x v="1"/>
            </reference>
            <reference field="0" count="1" selected="0">
              <x v="2"/>
            </reference>
            <reference field="1" count="9">
              <x v="0"/>
              <x v="1"/>
              <x v="2"/>
              <x v="3"/>
              <x v="4"/>
              <x v="5"/>
              <x v="6"/>
              <x v="7"/>
              <x v="8"/>
            </reference>
          </references>
        </pivotArea>
      </pivotAreas>
    </conditionalFormat>
    <conditionalFormat type="all" priority="18">
      <pivotAreas count="1">
        <pivotArea type="data" collapsedLevelsAreSubtotals="1" fieldPosition="0">
          <references count="3">
            <reference field="4294967294" count="1" selected="0">
              <x v="2"/>
            </reference>
            <reference field="0" count="1" selected="0">
              <x v="2"/>
            </reference>
            <reference field="1" count="9">
              <x v="0"/>
              <x v="1"/>
              <x v="2"/>
              <x v="3"/>
              <x v="4"/>
              <x v="5"/>
              <x v="6"/>
              <x v="7"/>
              <x v="8"/>
            </reference>
          </references>
        </pivotArea>
      </pivotAreas>
    </conditionalFormat>
    <conditionalFormat type="all" priority="17">
      <pivotAreas count="1">
        <pivotArea type="data" collapsedLevelsAreSubtotals="1" fieldPosition="0">
          <references count="3">
            <reference field="4294967294" count="1" selected="0">
              <x v="3"/>
            </reference>
            <reference field="0" count="1" selected="0">
              <x v="2"/>
            </reference>
            <reference field="1" count="9">
              <x v="0"/>
              <x v="1"/>
              <x v="2"/>
              <x v="3"/>
              <x v="4"/>
              <x v="5"/>
              <x v="6"/>
              <x v="7"/>
              <x v="8"/>
            </reference>
          </references>
        </pivotArea>
      </pivotAreas>
    </conditionalFormat>
    <conditionalFormat type="all" priority="16">
      <pivotAreas count="1">
        <pivotArea type="data" grandCol="1" collapsedLevelsAreSubtotals="1" fieldPosition="0">
          <references count="2">
            <reference field="4294967294" count="1" selected="0">
              <x v="0"/>
            </reference>
            <reference field="1" count="9">
              <x v="0"/>
              <x v="1"/>
              <x v="2"/>
              <x v="3"/>
              <x v="4"/>
              <x v="5"/>
              <x v="6"/>
              <x v="7"/>
              <x v="8"/>
            </reference>
          </references>
        </pivotArea>
      </pivotAreas>
    </conditionalFormat>
    <conditionalFormat type="all" priority="15">
      <pivotAreas count="1">
        <pivotArea type="data" grandCol="1" collapsedLevelsAreSubtotals="1" fieldPosition="0">
          <references count="2">
            <reference field="4294967294" count="1" selected="0">
              <x v="1"/>
            </reference>
            <reference field="1" count="9">
              <x v="0"/>
              <x v="1"/>
              <x v="2"/>
              <x v="3"/>
              <x v="4"/>
              <x v="5"/>
              <x v="6"/>
              <x v="7"/>
              <x v="8"/>
            </reference>
          </references>
        </pivotArea>
      </pivotAreas>
    </conditionalFormat>
    <conditionalFormat type="all" priority="14">
      <pivotAreas count="1">
        <pivotArea type="data" grandCol="1" collapsedLevelsAreSubtotals="1" fieldPosition="0">
          <references count="2">
            <reference field="4294967294" count="1" selected="0">
              <x v="2"/>
            </reference>
            <reference field="1" count="9">
              <x v="0"/>
              <x v="1"/>
              <x v="2"/>
              <x v="3"/>
              <x v="4"/>
              <x v="5"/>
              <x v="6"/>
              <x v="7"/>
              <x v="8"/>
            </reference>
          </references>
        </pivotArea>
      </pivotAreas>
    </conditionalFormat>
    <conditionalFormat type="all" priority="13">
      <pivotAreas count="1">
        <pivotArea type="data" grandCol="1" collapsedLevelsAreSubtotals="1" fieldPosition="0">
          <references count="2">
            <reference field="4294967294" count="1" selected="0">
              <x v="3"/>
            </reference>
            <reference field="1" count="9">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54D9EB-023B-49F6-A7E3-7A5B48747CE8}" name="Table4" displayName="Table4" ref="A5:T25" totalsRowShown="0" headerRowDxfId="136" dataDxfId="135">
  <autoFilter ref="A5:T25" xr:uid="{D854D9EB-023B-49F6-A7E3-7A5B48747CE8}"/>
  <tableColumns count="20">
    <tableColumn id="1" xr3:uid="{22437F34-990B-4B9C-BD8E-1432C35DA6BF}" name="Season" dataDxfId="134"/>
    <tableColumn id="2" xr3:uid="{86D64978-B2F1-4A25-8049-8F0EE084F755}" name="Player" dataDxfId="133"/>
    <tableColumn id="3" xr3:uid="{54767421-3E0D-4A2C-BCAF-D087ECEE7F70}" name="Department" dataDxfId="132"/>
    <tableColumn id="4" xr3:uid="{CC1A4494-1849-47BD-87FA-3C33342343FF}" name="Position" dataDxfId="131"/>
    <tableColumn id="5" xr3:uid="{5647020D-E75C-42D3-8C56-01EC7E3273DE}" name="MP" dataDxfId="130"/>
    <tableColumn id="6" xr3:uid="{5758FA58-4ADE-4379-88A3-B046385022D8}" name="Starts" dataDxfId="129"/>
    <tableColumn id="7" xr3:uid="{366A14BD-FB21-427B-B9C0-8F39CF8874BA}" name="Minutes" dataDxfId="128"/>
    <tableColumn id="8" xr3:uid="{EE97EE35-A00F-4D52-9AC7-8927668C421C}" name="G" dataDxfId="127"/>
    <tableColumn id="9" xr3:uid="{08015CD7-DA64-4CE0-A394-06D8819194B3}" name="A" dataDxfId="126"/>
    <tableColumn id="10" xr3:uid="{77C39855-694D-41E1-B267-825C3E257577}" name="G+A" dataDxfId="125">
      <calculatedColumnFormula>SUM(H6+I6)</calculatedColumnFormula>
    </tableColumn>
    <tableColumn id="11" xr3:uid="{36A2815F-2A21-465B-9095-912079C987A4}" name="G-PK" dataDxfId="124">
      <calculatedColumnFormula>H6-L6</calculatedColumnFormula>
    </tableColumn>
    <tableColumn id="12" xr3:uid="{88E2280E-F6B9-4F70-B94A-01DA4FC8CE02}" name="PK" dataDxfId="123"/>
    <tableColumn id="13" xr3:uid="{E815A82D-70C0-4BE5-A93E-E739DA62B5AE}" name="PKAtt." dataDxfId="122"/>
    <tableColumn id="14" xr3:uid="{E7B9A0F5-1F69-4728-98E0-9974E4D5683A}" name="Crd(Y)" dataDxfId="121"/>
    <tableColumn id="15" xr3:uid="{92D64E59-CCF6-42D3-9FDC-1A08DFB1C254}" name="Crd(R)" dataDxfId="120"/>
    <tableColumn id="16" xr3:uid="{1FB5120E-711A-4DAF-8C07-3AF05FA54F8D}" name="G/90" dataDxfId="119">
      <calculatedColumnFormula>(Flatsheet!$H6/90)</calculatedColumnFormula>
    </tableColumn>
    <tableColumn id="17" xr3:uid="{1E63B993-5F6C-405E-81FE-2E98EB58DF35}" name="A/90" dataDxfId="118">
      <calculatedColumnFormula>(Flatsheet!$I6/90)</calculatedColumnFormula>
    </tableColumn>
    <tableColumn id="21" xr3:uid="{7A7D83B2-C21F-4C8E-A207-714DBD9DEB8A}" name="G+A/90" dataDxfId="117">
      <calculatedColumnFormula>Table4[[#This Row],[G+A]]/90</calculatedColumnFormula>
    </tableColumn>
    <tableColumn id="18" xr3:uid="{B5069686-4871-43A0-9555-61610C4F65B9}" name="G-PK/90" dataDxfId="116">
      <calculatedColumnFormula>Flatsheet!$K6/90</calculatedColumnFormula>
    </tableColumn>
    <tableColumn id="19" xr3:uid="{6BC2F9FB-BDB9-4594-93BD-1B4334DE4320}" name="Minutes/G+A" dataDxfId="115">
      <calculatedColumnFormula>Flatsheet!$G6/Flatsheet!$J6</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00B11-A6D9-47F1-A481-8FD6BB0B3D22}">
  <dimension ref="A1:W29"/>
  <sheetViews>
    <sheetView tabSelected="1" zoomScale="78" zoomScaleNormal="65" workbookViewId="0">
      <selection sqref="A1:XFD1"/>
    </sheetView>
  </sheetViews>
  <sheetFormatPr defaultRowHeight="15.6" x14ac:dyDescent="0.3"/>
  <cols>
    <col min="1" max="1" width="14.6640625" style="1" bestFit="1" customWidth="1"/>
    <col min="2" max="2" width="26.33203125" style="1" bestFit="1" customWidth="1"/>
    <col min="3" max="3" width="19.33203125" style="2" bestFit="1" customWidth="1"/>
    <col min="4" max="4" width="15.5546875" style="2" bestFit="1" customWidth="1"/>
    <col min="5" max="5" width="10.21875" style="3" bestFit="1" customWidth="1"/>
    <col min="6" max="6" width="13.21875" style="1" bestFit="1" customWidth="1"/>
    <col min="7" max="7" width="15.21875" style="1" bestFit="1" customWidth="1"/>
    <col min="8" max="8" width="8.6640625" style="1" bestFit="1" customWidth="1"/>
    <col min="9" max="9" width="8.33203125" style="1" bestFit="1" customWidth="1"/>
    <col min="10" max="10" width="11.21875" style="1" bestFit="1" customWidth="1"/>
    <col min="11" max="11" width="12.109375" style="1" bestFit="1" customWidth="1"/>
    <col min="12" max="12" width="9.6640625" style="1" bestFit="1" customWidth="1"/>
    <col min="13" max="13" width="13.21875" style="1" bestFit="1" customWidth="1"/>
    <col min="14" max="14" width="13.44140625" style="1" bestFit="1" customWidth="1"/>
    <col min="15" max="15" width="13.6640625" style="1" bestFit="1" customWidth="1"/>
    <col min="16" max="16" width="12" style="1" bestFit="1" customWidth="1"/>
    <col min="17" max="17" width="11.6640625" style="1" bestFit="1" customWidth="1"/>
    <col min="18" max="18" width="15.33203125" style="1" bestFit="1" customWidth="1"/>
    <col min="19" max="19" width="15.44140625" style="1" bestFit="1" customWidth="1"/>
    <col min="20" max="20" width="20.5546875" style="1" bestFit="1" customWidth="1"/>
    <col min="21" max="21" width="21.88671875" style="1" bestFit="1" customWidth="1"/>
    <col min="22" max="22" width="13.44140625" style="1" bestFit="1" customWidth="1"/>
    <col min="23" max="23" width="15.109375" style="1" bestFit="1" customWidth="1"/>
    <col min="24" max="16384" width="8.88671875" style="1"/>
  </cols>
  <sheetData>
    <row r="1" spans="1:23" ht="15.6" customHeight="1" x14ac:dyDescent="0.3">
      <c r="A1" s="37" t="s">
        <v>37</v>
      </c>
      <c r="B1" s="37"/>
      <c r="C1" s="37"/>
      <c r="D1" s="37"/>
      <c r="E1" s="37"/>
      <c r="F1" s="37"/>
      <c r="G1" s="37"/>
      <c r="H1" s="37"/>
      <c r="I1" s="37"/>
      <c r="J1" s="37"/>
      <c r="K1" s="37"/>
      <c r="L1" s="37"/>
      <c r="M1" s="37"/>
    </row>
    <row r="2" spans="1:23" ht="15.6" customHeight="1" x14ac:dyDescent="0.3">
      <c r="A2" s="37" t="s">
        <v>30</v>
      </c>
      <c r="B2" s="37"/>
      <c r="C2" s="37"/>
      <c r="D2" s="37"/>
      <c r="E2" s="37"/>
      <c r="F2" s="37"/>
      <c r="G2" s="37"/>
      <c r="H2" s="37"/>
      <c r="I2" s="37"/>
      <c r="J2" s="37"/>
      <c r="K2" s="37"/>
      <c r="L2" s="37"/>
      <c r="M2" s="37"/>
    </row>
    <row r="3" spans="1:23" ht="15.6" customHeight="1" x14ac:dyDescent="0.3">
      <c r="A3" s="37"/>
      <c r="B3" s="37"/>
      <c r="C3" s="37"/>
      <c r="D3" s="37"/>
      <c r="E3" s="37"/>
      <c r="F3" s="37"/>
      <c r="G3" s="37"/>
      <c r="H3" s="37"/>
      <c r="I3" s="37"/>
      <c r="J3" s="37"/>
      <c r="K3" s="37"/>
      <c r="L3" s="37"/>
      <c r="M3" s="37"/>
    </row>
    <row r="4" spans="1:23" x14ac:dyDescent="0.3">
      <c r="A4" s="37"/>
      <c r="B4" s="37"/>
      <c r="C4" s="37"/>
      <c r="D4" s="37"/>
      <c r="E4" s="37"/>
      <c r="F4" s="37"/>
      <c r="G4" s="37"/>
      <c r="H4" s="37"/>
      <c r="I4" s="37"/>
      <c r="J4" s="37"/>
      <c r="K4" s="37"/>
      <c r="L4" s="37"/>
      <c r="M4" s="37"/>
    </row>
    <row r="5" spans="1:23" x14ac:dyDescent="0.3">
      <c r="A5" s="4" t="s">
        <v>13</v>
      </c>
      <c r="B5" s="4" t="s">
        <v>14</v>
      </c>
      <c r="C5" s="4" t="s">
        <v>15</v>
      </c>
      <c r="D5" s="4" t="s">
        <v>16</v>
      </c>
      <c r="E5" s="4" t="s">
        <v>17</v>
      </c>
      <c r="F5" s="4" t="s">
        <v>18</v>
      </c>
      <c r="G5" s="4" t="s">
        <v>19</v>
      </c>
      <c r="H5" s="4" t="s">
        <v>20</v>
      </c>
      <c r="I5" s="4" t="s">
        <v>21</v>
      </c>
      <c r="J5" s="4" t="s">
        <v>22</v>
      </c>
      <c r="K5" s="4" t="s">
        <v>23</v>
      </c>
      <c r="L5" s="4" t="s">
        <v>24</v>
      </c>
      <c r="M5" s="4" t="s">
        <v>25</v>
      </c>
      <c r="N5" s="4" t="s">
        <v>26</v>
      </c>
      <c r="O5" s="4" t="s">
        <v>27</v>
      </c>
      <c r="P5" s="4" t="s">
        <v>31</v>
      </c>
      <c r="Q5" s="4" t="s">
        <v>32</v>
      </c>
      <c r="R5" s="4" t="s">
        <v>49</v>
      </c>
      <c r="S5" s="4" t="s">
        <v>33</v>
      </c>
      <c r="T5" s="4" t="s">
        <v>34</v>
      </c>
      <c r="U5" s="4" t="s">
        <v>36</v>
      </c>
      <c r="V5" s="20" t="s">
        <v>38</v>
      </c>
      <c r="W5" s="20" t="s">
        <v>39</v>
      </c>
    </row>
    <row r="6" spans="1:23" x14ac:dyDescent="0.3">
      <c r="A6" s="5" t="s">
        <v>12</v>
      </c>
      <c r="B6" s="6" t="s">
        <v>0</v>
      </c>
      <c r="C6" s="5" t="s">
        <v>1</v>
      </c>
      <c r="D6" s="5" t="s">
        <v>2</v>
      </c>
      <c r="E6" s="7">
        <v>51</v>
      </c>
      <c r="F6" s="6">
        <v>48</v>
      </c>
      <c r="G6" s="6">
        <v>4292</v>
      </c>
      <c r="H6" s="6">
        <v>30</v>
      </c>
      <c r="I6" s="6">
        <v>16</v>
      </c>
      <c r="J6" s="6">
        <f t="shared" ref="J6:J25" si="0">SUM(H6+I6)</f>
        <v>46</v>
      </c>
      <c r="K6" s="6">
        <f t="shared" ref="K6:K25" si="1">H6-L6</f>
        <v>26</v>
      </c>
      <c r="L6" s="6">
        <v>4</v>
      </c>
      <c r="M6" s="6">
        <v>6</v>
      </c>
      <c r="N6" s="6">
        <v>2</v>
      </c>
      <c r="O6" s="6">
        <v>0</v>
      </c>
      <c r="P6" s="8">
        <f>(Flatsheet!$H6/90)</f>
        <v>0.33333333333333331</v>
      </c>
      <c r="Q6" s="8">
        <f>(Flatsheet!$I6/90)</f>
        <v>0.17777777777777778</v>
      </c>
      <c r="R6" s="8">
        <f>Table4[[#This Row],[G+A]]/90</f>
        <v>0.51111111111111107</v>
      </c>
      <c r="S6" s="8">
        <f>Flatsheet!$K6/90</f>
        <v>0.28888888888888886</v>
      </c>
      <c r="T6" s="8">
        <f>Flatsheet!$G6/Flatsheet!$J6</f>
        <v>93.304347826086953</v>
      </c>
      <c r="U6" s="9">
        <f>(Flatsheet!$G6/$G$27)</f>
        <v>0.31677614584102148</v>
      </c>
      <c r="V6" s="9">
        <f>Flatsheet!$H6/$H$27</f>
        <v>0.38461538461538464</v>
      </c>
      <c r="W6" s="9">
        <f>Flatsheet!$I6/$I$27</f>
        <v>0.42105263157894735</v>
      </c>
    </row>
    <row r="7" spans="1:23" x14ac:dyDescent="0.3">
      <c r="A7" s="5" t="s">
        <v>12</v>
      </c>
      <c r="B7" s="6" t="s">
        <v>28</v>
      </c>
      <c r="C7" s="5" t="s">
        <v>1</v>
      </c>
      <c r="D7" s="5" t="s">
        <v>2</v>
      </c>
      <c r="E7" s="7">
        <v>13</v>
      </c>
      <c r="F7" s="6">
        <v>5</v>
      </c>
      <c r="G7" s="6">
        <v>525</v>
      </c>
      <c r="H7" s="6">
        <v>1</v>
      </c>
      <c r="I7" s="6">
        <v>0</v>
      </c>
      <c r="J7" s="6">
        <f t="shared" si="0"/>
        <v>1</v>
      </c>
      <c r="K7" s="6">
        <f t="shared" si="1"/>
        <v>1</v>
      </c>
      <c r="L7" s="6">
        <v>0</v>
      </c>
      <c r="M7" s="6">
        <v>0</v>
      </c>
      <c r="N7" s="6">
        <v>0</v>
      </c>
      <c r="O7" s="6">
        <v>0</v>
      </c>
      <c r="P7" s="8">
        <f>(Flatsheet!$H7/90)</f>
        <v>1.1111111111111112E-2</v>
      </c>
      <c r="Q7" s="8">
        <f>(Flatsheet!$I7/90)</f>
        <v>0</v>
      </c>
      <c r="R7" s="8">
        <f>Table4[[#This Row],[G+A]]/90</f>
        <v>1.1111111111111112E-2</v>
      </c>
      <c r="S7" s="8">
        <f>Flatsheet!$K7/90</f>
        <v>1.1111111111111112E-2</v>
      </c>
      <c r="T7" s="8">
        <f>Flatsheet!$G7/Flatsheet!$J7</f>
        <v>525</v>
      </c>
      <c r="U7" s="9">
        <f>(Flatsheet!$G7/$G$27)</f>
        <v>3.8748247103107238E-2</v>
      </c>
      <c r="V7" s="9">
        <f>Flatsheet!$H7/$H$27</f>
        <v>1.282051282051282E-2</v>
      </c>
      <c r="W7" s="9">
        <f>Flatsheet!$I7/$I$27</f>
        <v>0</v>
      </c>
    </row>
    <row r="8" spans="1:23" x14ac:dyDescent="0.3">
      <c r="A8" s="5" t="s">
        <v>12</v>
      </c>
      <c r="B8" s="6" t="s">
        <v>3</v>
      </c>
      <c r="C8" s="5" t="s">
        <v>1</v>
      </c>
      <c r="D8" s="5" t="s">
        <v>2</v>
      </c>
      <c r="E8" s="7">
        <v>35</v>
      </c>
      <c r="F8" s="6">
        <v>18</v>
      </c>
      <c r="G8" s="6">
        <v>1743</v>
      </c>
      <c r="H8" s="6">
        <v>13</v>
      </c>
      <c r="I8" s="6">
        <v>5</v>
      </c>
      <c r="J8" s="6">
        <f t="shared" si="0"/>
        <v>18</v>
      </c>
      <c r="K8" s="6">
        <f t="shared" si="1"/>
        <v>13</v>
      </c>
      <c r="L8" s="6">
        <v>0</v>
      </c>
      <c r="M8" s="6">
        <v>0</v>
      </c>
      <c r="N8" s="6">
        <v>0</v>
      </c>
      <c r="O8" s="6">
        <v>0</v>
      </c>
      <c r="P8" s="8">
        <f>(Flatsheet!$H8/90)</f>
        <v>0.14444444444444443</v>
      </c>
      <c r="Q8" s="8">
        <f>(Flatsheet!$I8/90)</f>
        <v>5.5555555555555552E-2</v>
      </c>
      <c r="R8" s="8">
        <f>Table4[[#This Row],[G+A]]/90</f>
        <v>0.2</v>
      </c>
      <c r="S8" s="8">
        <f>Flatsheet!$K8/90</f>
        <v>0.14444444444444443</v>
      </c>
      <c r="T8" s="8">
        <f>Flatsheet!$G8/Flatsheet!$J8</f>
        <v>96.833333333333329</v>
      </c>
      <c r="U8" s="9">
        <f>(Flatsheet!$G8/$G$27)</f>
        <v>0.12864418038231604</v>
      </c>
      <c r="V8" s="9">
        <f>Flatsheet!$H8/$H$27</f>
        <v>0.16666666666666666</v>
      </c>
      <c r="W8" s="9">
        <f>Flatsheet!$I8/$I$27</f>
        <v>0.13157894736842105</v>
      </c>
    </row>
    <row r="9" spans="1:23" x14ac:dyDescent="0.3">
      <c r="A9" s="5" t="s">
        <v>12</v>
      </c>
      <c r="B9" s="6" t="s">
        <v>5</v>
      </c>
      <c r="C9" s="5" t="s">
        <v>1</v>
      </c>
      <c r="D9" s="5" t="s">
        <v>2</v>
      </c>
      <c r="E9" s="7">
        <v>21</v>
      </c>
      <c r="F9" s="6">
        <v>15</v>
      </c>
      <c r="G9" s="6">
        <v>1354</v>
      </c>
      <c r="H9" s="6">
        <v>5</v>
      </c>
      <c r="I9" s="6">
        <v>2</v>
      </c>
      <c r="J9" s="6">
        <f t="shared" si="0"/>
        <v>7</v>
      </c>
      <c r="K9" s="6">
        <f t="shared" si="1"/>
        <v>5</v>
      </c>
      <c r="L9" s="6">
        <v>0</v>
      </c>
      <c r="M9" s="6">
        <v>0</v>
      </c>
      <c r="N9" s="6">
        <v>2</v>
      </c>
      <c r="O9" s="6">
        <v>0</v>
      </c>
      <c r="P9" s="8">
        <f>(Flatsheet!$H9/90)</f>
        <v>5.5555555555555552E-2</v>
      </c>
      <c r="Q9" s="8">
        <f>(Flatsheet!$I9/90)</f>
        <v>2.2222222222222223E-2</v>
      </c>
      <c r="R9" s="8">
        <f>Table4[[#This Row],[G+A]]/90</f>
        <v>7.7777777777777779E-2</v>
      </c>
      <c r="S9" s="8">
        <f>Flatsheet!$K9/90</f>
        <v>5.5555555555555552E-2</v>
      </c>
      <c r="T9" s="8">
        <f>Flatsheet!$G9/Flatsheet!$J9</f>
        <v>193.42857142857142</v>
      </c>
      <c r="U9" s="9">
        <f>(Flatsheet!$G9/$G$27)</f>
        <v>9.9933574433537536E-2</v>
      </c>
      <c r="V9" s="9">
        <f>Flatsheet!$H9/$H$27</f>
        <v>6.4102564102564097E-2</v>
      </c>
      <c r="W9" s="9">
        <f>Flatsheet!$I9/$I$27</f>
        <v>5.2631578947368418E-2</v>
      </c>
    </row>
    <row r="10" spans="1:23" x14ac:dyDescent="0.3">
      <c r="A10" s="5" t="s">
        <v>12</v>
      </c>
      <c r="B10" s="6" t="s">
        <v>8</v>
      </c>
      <c r="C10" s="5" t="s">
        <v>1</v>
      </c>
      <c r="D10" s="5" t="s">
        <v>2</v>
      </c>
      <c r="E10" s="7">
        <v>28</v>
      </c>
      <c r="F10" s="6">
        <v>15</v>
      </c>
      <c r="G10" s="6">
        <v>1394</v>
      </c>
      <c r="H10" s="6">
        <v>7</v>
      </c>
      <c r="I10" s="6">
        <v>8</v>
      </c>
      <c r="J10" s="6">
        <f t="shared" si="0"/>
        <v>15</v>
      </c>
      <c r="K10" s="6">
        <f t="shared" si="1"/>
        <v>7</v>
      </c>
      <c r="L10" s="6">
        <v>0</v>
      </c>
      <c r="M10" s="6">
        <v>0</v>
      </c>
      <c r="N10" s="6">
        <v>2</v>
      </c>
      <c r="O10" s="6">
        <v>0</v>
      </c>
      <c r="P10" s="8">
        <f>(Flatsheet!$H10/90)</f>
        <v>7.7777777777777779E-2</v>
      </c>
      <c r="Q10" s="8">
        <f>(Flatsheet!$I10/90)</f>
        <v>8.8888888888888892E-2</v>
      </c>
      <c r="R10" s="8">
        <f>Table4[[#This Row],[G+A]]/90</f>
        <v>0.16666666666666666</v>
      </c>
      <c r="S10" s="8">
        <f>Flatsheet!$K10/90</f>
        <v>7.7777777777777779E-2</v>
      </c>
      <c r="T10" s="8">
        <f>Flatsheet!$G10/Flatsheet!$J10</f>
        <v>92.933333333333337</v>
      </c>
      <c r="U10" s="9">
        <f>(Flatsheet!$G10/$G$27)</f>
        <v>0.10288582183186951</v>
      </c>
      <c r="V10" s="9">
        <f>Flatsheet!$H10/$H$27</f>
        <v>8.9743589743589744E-2</v>
      </c>
      <c r="W10" s="9">
        <f>Flatsheet!$I10/$I$27</f>
        <v>0.21052631578947367</v>
      </c>
    </row>
    <row r="11" spans="1:23" x14ac:dyDescent="0.3">
      <c r="A11" s="5" t="s">
        <v>12</v>
      </c>
      <c r="B11" s="6" t="s">
        <v>9</v>
      </c>
      <c r="C11" s="5" t="s">
        <v>1</v>
      </c>
      <c r="D11" s="5" t="s">
        <v>2</v>
      </c>
      <c r="E11" s="7">
        <v>42</v>
      </c>
      <c r="F11" s="6">
        <v>26</v>
      </c>
      <c r="G11" s="6">
        <v>2393</v>
      </c>
      <c r="H11" s="6">
        <v>15</v>
      </c>
      <c r="I11" s="6">
        <v>5</v>
      </c>
      <c r="J11" s="6">
        <f t="shared" si="0"/>
        <v>20</v>
      </c>
      <c r="K11" s="6">
        <f t="shared" si="1"/>
        <v>15</v>
      </c>
      <c r="L11" s="6">
        <v>0</v>
      </c>
      <c r="M11" s="6">
        <v>0</v>
      </c>
      <c r="N11" s="6">
        <v>3</v>
      </c>
      <c r="O11" s="6">
        <v>1</v>
      </c>
      <c r="P11" s="8">
        <f>(Flatsheet!$H11/90)</f>
        <v>0.16666666666666666</v>
      </c>
      <c r="Q11" s="8">
        <f>(Flatsheet!$I11/90)</f>
        <v>5.5555555555555552E-2</v>
      </c>
      <c r="R11" s="8">
        <f>Table4[[#This Row],[G+A]]/90</f>
        <v>0.22222222222222221</v>
      </c>
      <c r="S11" s="8">
        <f>Flatsheet!$K11/90</f>
        <v>0.16666666666666666</v>
      </c>
      <c r="T11" s="8">
        <f>Flatsheet!$G11/Flatsheet!$J11</f>
        <v>119.65</v>
      </c>
      <c r="U11" s="9">
        <f>(Flatsheet!$G11/$G$27)</f>
        <v>0.17661820060521072</v>
      </c>
      <c r="V11" s="9">
        <f>Flatsheet!$H11/$H$27</f>
        <v>0.19230769230769232</v>
      </c>
      <c r="W11" s="9">
        <f>Flatsheet!$I11/$I$27</f>
        <v>0.13157894736842105</v>
      </c>
    </row>
    <row r="12" spans="1:23" x14ac:dyDescent="0.3">
      <c r="A12" s="5" t="s">
        <v>12</v>
      </c>
      <c r="B12" s="6" t="s">
        <v>6</v>
      </c>
      <c r="C12" s="5" t="s">
        <v>1</v>
      </c>
      <c r="D12" s="5" t="s">
        <v>2</v>
      </c>
      <c r="E12" s="7">
        <v>26</v>
      </c>
      <c r="F12" s="6">
        <v>22</v>
      </c>
      <c r="G12" s="6">
        <v>1848</v>
      </c>
      <c r="H12" s="6">
        <v>7</v>
      </c>
      <c r="I12" s="6">
        <v>2</v>
      </c>
      <c r="J12" s="6">
        <f t="shared" si="0"/>
        <v>9</v>
      </c>
      <c r="K12" s="6">
        <f t="shared" si="1"/>
        <v>7</v>
      </c>
      <c r="L12" s="6">
        <v>0</v>
      </c>
      <c r="M12" s="6">
        <v>0</v>
      </c>
      <c r="N12" s="6">
        <v>0</v>
      </c>
      <c r="O12" s="6">
        <v>0</v>
      </c>
      <c r="P12" s="8">
        <f>(Flatsheet!$H12/90)</f>
        <v>7.7777777777777779E-2</v>
      </c>
      <c r="Q12" s="8">
        <f>(Flatsheet!$I12/90)</f>
        <v>2.2222222222222223E-2</v>
      </c>
      <c r="R12" s="8">
        <f>Table4[[#This Row],[G+A]]/90</f>
        <v>0.1</v>
      </c>
      <c r="S12" s="8">
        <f>Flatsheet!$K12/90</f>
        <v>7.7777777777777779E-2</v>
      </c>
      <c r="T12" s="8">
        <f>Flatsheet!$G12/Flatsheet!$J12</f>
        <v>205.33333333333334</v>
      </c>
      <c r="U12" s="9">
        <f>(Flatsheet!$G12/$G$27)</f>
        <v>0.13639382980293749</v>
      </c>
      <c r="V12" s="9">
        <f>Flatsheet!$H12/$H$27</f>
        <v>8.9743589743589744E-2</v>
      </c>
      <c r="W12" s="9">
        <f>Flatsheet!$I12/$I$27</f>
        <v>5.2631578947368418E-2</v>
      </c>
    </row>
    <row r="13" spans="1:23" x14ac:dyDescent="0.3">
      <c r="A13" s="10" t="s">
        <v>4</v>
      </c>
      <c r="B13" s="11" t="s">
        <v>5</v>
      </c>
      <c r="C13" s="10" t="s">
        <v>1</v>
      </c>
      <c r="D13" s="10" t="s">
        <v>2</v>
      </c>
      <c r="E13" s="12">
        <v>51</v>
      </c>
      <c r="F13" s="11">
        <v>42</v>
      </c>
      <c r="G13" s="11">
        <v>3596</v>
      </c>
      <c r="H13" s="11">
        <v>13</v>
      </c>
      <c r="I13" s="11">
        <v>5</v>
      </c>
      <c r="J13" s="11">
        <f t="shared" si="0"/>
        <v>18</v>
      </c>
      <c r="K13" s="11">
        <f t="shared" si="1"/>
        <v>13</v>
      </c>
      <c r="L13" s="11">
        <v>0</v>
      </c>
      <c r="M13" s="11">
        <v>0</v>
      </c>
      <c r="N13" s="11">
        <v>3</v>
      </c>
      <c r="O13" s="11">
        <v>0</v>
      </c>
      <c r="P13" s="13">
        <f>(Flatsheet!$H13/90)</f>
        <v>0.14444444444444443</v>
      </c>
      <c r="Q13" s="13">
        <f>(Flatsheet!$I13/90)</f>
        <v>5.5555555555555552E-2</v>
      </c>
      <c r="R13" s="13">
        <f>Table4[[#This Row],[G+A]]/90</f>
        <v>0.2</v>
      </c>
      <c r="S13" s="13">
        <f>Flatsheet!$K13/90</f>
        <v>0.14444444444444443</v>
      </c>
      <c r="T13" s="13">
        <f>Flatsheet!$G13/Flatsheet!$J13</f>
        <v>199.77777777777777</v>
      </c>
      <c r="U13" s="14">
        <f>Flatsheet!$G13/$G$28</f>
        <v>0.24684239428885227</v>
      </c>
      <c r="V13" s="14">
        <f>Flatsheet!$H13/$H$28</f>
        <v>0.14606741573033707</v>
      </c>
      <c r="W13" s="14">
        <f>Flatsheet!$I13/$I$28</f>
        <v>0.11904761904761904</v>
      </c>
    </row>
    <row r="14" spans="1:23" x14ac:dyDescent="0.3">
      <c r="A14" s="10" t="s">
        <v>4</v>
      </c>
      <c r="B14" s="11" t="s">
        <v>6</v>
      </c>
      <c r="C14" s="10" t="s">
        <v>1</v>
      </c>
      <c r="D14" s="10" t="s">
        <v>7</v>
      </c>
      <c r="E14" s="12">
        <v>53</v>
      </c>
      <c r="F14" s="11">
        <v>32</v>
      </c>
      <c r="G14" s="11">
        <v>3017</v>
      </c>
      <c r="H14" s="11">
        <v>16</v>
      </c>
      <c r="I14" s="11">
        <v>6</v>
      </c>
      <c r="J14" s="11">
        <f t="shared" si="0"/>
        <v>22</v>
      </c>
      <c r="K14" s="11">
        <f t="shared" si="1"/>
        <v>16</v>
      </c>
      <c r="L14" s="11">
        <v>0</v>
      </c>
      <c r="M14" s="11">
        <v>0</v>
      </c>
      <c r="N14" s="11">
        <v>2</v>
      </c>
      <c r="O14" s="11">
        <v>0</v>
      </c>
      <c r="P14" s="13">
        <f>(Flatsheet!$H14/90)</f>
        <v>0.17777777777777778</v>
      </c>
      <c r="Q14" s="13">
        <f>(Flatsheet!$I14/90)</f>
        <v>6.6666666666666666E-2</v>
      </c>
      <c r="R14" s="13">
        <f>Table4[[#This Row],[G+A]]/90</f>
        <v>0.24444444444444444</v>
      </c>
      <c r="S14" s="13">
        <f>Flatsheet!$K14/90</f>
        <v>0.17777777777777778</v>
      </c>
      <c r="T14" s="13">
        <f>Flatsheet!$G14/Flatsheet!$J14</f>
        <v>137.13636363636363</v>
      </c>
      <c r="U14" s="14">
        <f>Flatsheet!$G14/$G$28</f>
        <v>0.20709774848984075</v>
      </c>
      <c r="V14" s="14">
        <f>Flatsheet!$H14/$H$28</f>
        <v>0.1797752808988764</v>
      </c>
      <c r="W14" s="14">
        <f>Flatsheet!$I14/$I$28</f>
        <v>0.14285714285714285</v>
      </c>
    </row>
    <row r="15" spans="1:23" x14ac:dyDescent="0.3">
      <c r="A15" s="10" t="s">
        <v>4</v>
      </c>
      <c r="B15" s="11" t="s">
        <v>29</v>
      </c>
      <c r="C15" s="10" t="s">
        <v>1</v>
      </c>
      <c r="D15" s="10" t="s">
        <v>2</v>
      </c>
      <c r="E15" s="12">
        <v>5</v>
      </c>
      <c r="F15" s="11">
        <v>0</v>
      </c>
      <c r="G15" s="11">
        <v>83</v>
      </c>
      <c r="H15" s="11">
        <v>2</v>
      </c>
      <c r="I15" s="11">
        <v>0</v>
      </c>
      <c r="J15" s="11">
        <f t="shared" si="0"/>
        <v>2</v>
      </c>
      <c r="K15" s="11">
        <f t="shared" si="1"/>
        <v>2</v>
      </c>
      <c r="L15" s="11">
        <v>0</v>
      </c>
      <c r="M15" s="11">
        <v>0</v>
      </c>
      <c r="N15" s="11">
        <v>1</v>
      </c>
      <c r="O15" s="11">
        <v>0</v>
      </c>
      <c r="P15" s="13">
        <f>(Flatsheet!$H15/90)</f>
        <v>2.2222222222222223E-2</v>
      </c>
      <c r="Q15" s="13">
        <f>(Flatsheet!$I15/90)</f>
        <v>0</v>
      </c>
      <c r="R15" s="13">
        <f>Table4[[#This Row],[G+A]]/90</f>
        <v>2.2222222222222223E-2</v>
      </c>
      <c r="S15" s="13">
        <f>Flatsheet!$K15/90</f>
        <v>2.2222222222222223E-2</v>
      </c>
      <c r="T15" s="13">
        <f>Flatsheet!$G15/Flatsheet!$J15</f>
        <v>41.5</v>
      </c>
      <c r="U15" s="14">
        <f>Flatsheet!$G15/$G$28</f>
        <v>5.6974190005491488E-3</v>
      </c>
      <c r="V15" s="14">
        <f>Flatsheet!$H15/$H$28</f>
        <v>2.247191011235955E-2</v>
      </c>
      <c r="W15" s="14">
        <f>Flatsheet!$I15/$I$28</f>
        <v>0</v>
      </c>
    </row>
    <row r="16" spans="1:23" x14ac:dyDescent="0.3">
      <c r="A16" s="10" t="s">
        <v>4</v>
      </c>
      <c r="B16" s="11" t="s">
        <v>8</v>
      </c>
      <c r="C16" s="10" t="s">
        <v>1</v>
      </c>
      <c r="D16" s="10" t="s">
        <v>2</v>
      </c>
      <c r="E16" s="12">
        <v>32</v>
      </c>
      <c r="F16" s="11">
        <v>19</v>
      </c>
      <c r="G16" s="11">
        <v>1711</v>
      </c>
      <c r="H16" s="11">
        <v>15</v>
      </c>
      <c r="I16" s="11">
        <v>4</v>
      </c>
      <c r="J16" s="11">
        <f t="shared" si="0"/>
        <v>19</v>
      </c>
      <c r="K16" s="11">
        <f t="shared" si="1"/>
        <v>15</v>
      </c>
      <c r="L16" s="11">
        <v>0</v>
      </c>
      <c r="M16" s="11">
        <v>0</v>
      </c>
      <c r="N16" s="11">
        <v>3</v>
      </c>
      <c r="O16" s="11">
        <v>1</v>
      </c>
      <c r="P16" s="13">
        <f>(Flatsheet!$H16/90)</f>
        <v>0.16666666666666666</v>
      </c>
      <c r="Q16" s="13">
        <f>(Flatsheet!$I16/90)</f>
        <v>4.4444444444444446E-2</v>
      </c>
      <c r="R16" s="13">
        <f>Table4[[#This Row],[G+A]]/90</f>
        <v>0.21111111111111111</v>
      </c>
      <c r="S16" s="13">
        <f>Flatsheet!$K16/90</f>
        <v>0.16666666666666666</v>
      </c>
      <c r="T16" s="13">
        <f>Flatsheet!$G16/Flatsheet!$J16</f>
        <v>90.05263157894737</v>
      </c>
      <c r="U16" s="14">
        <f>Flatsheet!$G16/$G$28</f>
        <v>0.11744920373421197</v>
      </c>
      <c r="V16" s="14">
        <f>Flatsheet!$H16/$H$28</f>
        <v>0.16853932584269662</v>
      </c>
      <c r="W16" s="14">
        <f>Flatsheet!$I16/$I$28</f>
        <v>9.5238095238095233E-2</v>
      </c>
    </row>
    <row r="17" spans="1:23" x14ac:dyDescent="0.3">
      <c r="A17" s="10" t="s">
        <v>4</v>
      </c>
      <c r="B17" s="11" t="s">
        <v>9</v>
      </c>
      <c r="C17" s="10" t="s">
        <v>1</v>
      </c>
      <c r="D17" s="10" t="s">
        <v>2</v>
      </c>
      <c r="E17" s="12">
        <v>54</v>
      </c>
      <c r="F17" s="11">
        <v>33</v>
      </c>
      <c r="G17" s="11">
        <v>3030</v>
      </c>
      <c r="H17" s="11">
        <v>18</v>
      </c>
      <c r="I17" s="11">
        <v>13</v>
      </c>
      <c r="J17" s="11">
        <f t="shared" si="0"/>
        <v>31</v>
      </c>
      <c r="K17" s="11">
        <f t="shared" si="1"/>
        <v>17</v>
      </c>
      <c r="L17" s="11">
        <v>1</v>
      </c>
      <c r="M17" s="11">
        <v>2</v>
      </c>
      <c r="N17" s="11">
        <v>11</v>
      </c>
      <c r="O17" s="11">
        <v>0</v>
      </c>
      <c r="P17" s="13">
        <f>(Flatsheet!$H17/90)</f>
        <v>0.2</v>
      </c>
      <c r="Q17" s="13">
        <f>(Flatsheet!$I17/90)</f>
        <v>0.14444444444444443</v>
      </c>
      <c r="R17" s="13">
        <f>Table4[[#This Row],[G+A]]/90</f>
        <v>0.34444444444444444</v>
      </c>
      <c r="S17" s="13">
        <f>Flatsheet!$K17/90</f>
        <v>0.18888888888888888</v>
      </c>
      <c r="T17" s="13">
        <f>Flatsheet!$G17/Flatsheet!$J17</f>
        <v>97.741935483870961</v>
      </c>
      <c r="U17" s="14">
        <f>Flatsheet!$G17/$G$28</f>
        <v>0.20799011532125206</v>
      </c>
      <c r="V17" s="14">
        <f>Flatsheet!$H17/$H$28</f>
        <v>0.20224719101123595</v>
      </c>
      <c r="W17" s="14">
        <f>Flatsheet!$I17/$I$28</f>
        <v>0.30952380952380953</v>
      </c>
    </row>
    <row r="18" spans="1:23" x14ac:dyDescent="0.3">
      <c r="A18" s="10" t="s">
        <v>4</v>
      </c>
      <c r="B18" s="11" t="s">
        <v>0</v>
      </c>
      <c r="C18" s="10" t="s">
        <v>1</v>
      </c>
      <c r="D18" s="10" t="s">
        <v>2</v>
      </c>
      <c r="E18" s="12">
        <v>44</v>
      </c>
      <c r="F18" s="11">
        <v>34</v>
      </c>
      <c r="G18" s="11">
        <v>3131</v>
      </c>
      <c r="H18" s="11">
        <v>25</v>
      </c>
      <c r="I18" s="11">
        <v>14</v>
      </c>
      <c r="J18" s="11">
        <f t="shared" si="0"/>
        <v>39</v>
      </c>
      <c r="K18" s="11">
        <f t="shared" si="1"/>
        <v>19</v>
      </c>
      <c r="L18" s="11">
        <v>6</v>
      </c>
      <c r="M18" s="11">
        <v>8</v>
      </c>
      <c r="N18" s="11">
        <v>2</v>
      </c>
      <c r="O18" s="11">
        <v>0</v>
      </c>
      <c r="P18" s="13">
        <f>(Flatsheet!$H18/90)</f>
        <v>0.27777777777777779</v>
      </c>
      <c r="Q18" s="13">
        <f>(Flatsheet!$I18/90)</f>
        <v>0.15555555555555556</v>
      </c>
      <c r="R18" s="13">
        <f>Table4[[#This Row],[G+A]]/90</f>
        <v>0.43333333333333335</v>
      </c>
      <c r="S18" s="13">
        <f>Flatsheet!$K18/90</f>
        <v>0.21111111111111111</v>
      </c>
      <c r="T18" s="13">
        <f>Flatsheet!$G18/Flatsheet!$J18</f>
        <v>80.282051282051285</v>
      </c>
      <c r="U18" s="14">
        <f>Flatsheet!$G18/$G$28</f>
        <v>0.2149231191652938</v>
      </c>
      <c r="V18" s="14">
        <f>Flatsheet!$H18/$H$28</f>
        <v>0.2808988764044944</v>
      </c>
      <c r="W18" s="14">
        <f>Flatsheet!$I18/$I$28</f>
        <v>0.33333333333333331</v>
      </c>
    </row>
    <row r="19" spans="1:23" x14ac:dyDescent="0.3">
      <c r="A19" s="15" t="s">
        <v>10</v>
      </c>
      <c r="B19" s="16" t="s">
        <v>0</v>
      </c>
      <c r="C19" s="15" t="s">
        <v>1</v>
      </c>
      <c r="D19" s="15" t="s">
        <v>2</v>
      </c>
      <c r="E19" s="17">
        <v>52</v>
      </c>
      <c r="F19" s="16">
        <v>50</v>
      </c>
      <c r="G19" s="16">
        <v>4490</v>
      </c>
      <c r="H19" s="16">
        <v>34</v>
      </c>
      <c r="I19" s="16">
        <v>23</v>
      </c>
      <c r="J19" s="16">
        <f t="shared" si="0"/>
        <v>57</v>
      </c>
      <c r="K19" s="16">
        <f t="shared" si="1"/>
        <v>23</v>
      </c>
      <c r="L19" s="16">
        <v>11</v>
      </c>
      <c r="M19" s="16">
        <v>12</v>
      </c>
      <c r="N19" s="16">
        <v>1</v>
      </c>
      <c r="O19" s="16">
        <v>0</v>
      </c>
      <c r="P19" s="18">
        <f>(Flatsheet!$H19/90)</f>
        <v>0.37777777777777777</v>
      </c>
      <c r="Q19" s="18">
        <f>(Flatsheet!$I19/90)</f>
        <v>0.25555555555555554</v>
      </c>
      <c r="R19" s="18">
        <f>Table4[[#This Row],[G+A]]/90</f>
        <v>0.6333333333333333</v>
      </c>
      <c r="S19" s="18">
        <f>Flatsheet!$K19/90</f>
        <v>0.25555555555555554</v>
      </c>
      <c r="T19" s="18">
        <f>Flatsheet!$G19/Flatsheet!$J19</f>
        <v>78.771929824561397</v>
      </c>
      <c r="U19" s="19">
        <f>Flatsheet!$G19/$G$29</f>
        <v>0.29975298751585555</v>
      </c>
      <c r="V19" s="19">
        <f>Flatsheet!$H19/$H$29</f>
        <v>0.38636363636363635</v>
      </c>
      <c r="W19" s="19">
        <f>Flatsheet!$I19/$I$29</f>
        <v>0.53488372093023251</v>
      </c>
    </row>
    <row r="20" spans="1:23" x14ac:dyDescent="0.3">
      <c r="A20" s="15" t="s">
        <v>10</v>
      </c>
      <c r="B20" s="16" t="s">
        <v>11</v>
      </c>
      <c r="C20" s="15" t="s">
        <v>1</v>
      </c>
      <c r="D20" s="15" t="s">
        <v>2</v>
      </c>
      <c r="E20" s="17">
        <v>14</v>
      </c>
      <c r="F20" s="16">
        <v>4</v>
      </c>
      <c r="G20" s="16">
        <v>470</v>
      </c>
      <c r="H20" s="16">
        <v>2</v>
      </c>
      <c r="I20" s="16">
        <v>1</v>
      </c>
      <c r="J20" s="16">
        <f t="shared" si="0"/>
        <v>3</v>
      </c>
      <c r="K20" s="16">
        <f t="shared" si="1"/>
        <v>2</v>
      </c>
      <c r="L20" s="16">
        <v>0</v>
      </c>
      <c r="M20" s="16">
        <v>0</v>
      </c>
      <c r="N20" s="16">
        <v>1</v>
      </c>
      <c r="O20" s="16">
        <v>0</v>
      </c>
      <c r="P20" s="18">
        <f>(Flatsheet!$H20/90)</f>
        <v>2.2222222222222223E-2</v>
      </c>
      <c r="Q20" s="18">
        <f>(Flatsheet!$I20/90)</f>
        <v>1.1111111111111112E-2</v>
      </c>
      <c r="R20" s="18">
        <f>Table4[[#This Row],[G+A]]/90</f>
        <v>3.3333333333333333E-2</v>
      </c>
      <c r="S20" s="18">
        <f>Flatsheet!$K20/90</f>
        <v>2.2222222222222223E-2</v>
      </c>
      <c r="T20" s="18">
        <f>Flatsheet!$G20/Flatsheet!$J20</f>
        <v>156.66666666666666</v>
      </c>
      <c r="U20" s="19">
        <f>Flatsheet!$G20/$G$29</f>
        <v>3.1377261499432541E-2</v>
      </c>
      <c r="V20" s="19">
        <f>Flatsheet!$H20/$H$29</f>
        <v>2.2727272727272728E-2</v>
      </c>
      <c r="W20" s="19">
        <f>Flatsheet!$I20/$I$29</f>
        <v>2.3255813953488372E-2</v>
      </c>
    </row>
    <row r="21" spans="1:23" x14ac:dyDescent="0.3">
      <c r="A21" s="15" t="s">
        <v>10</v>
      </c>
      <c r="B21" s="16" t="s">
        <v>5</v>
      </c>
      <c r="C21" s="15" t="s">
        <v>1</v>
      </c>
      <c r="D21" s="15" t="s">
        <v>2</v>
      </c>
      <c r="E21" s="17">
        <v>50</v>
      </c>
      <c r="F21" s="16">
        <v>38</v>
      </c>
      <c r="G21" s="16">
        <v>3323</v>
      </c>
      <c r="H21" s="16">
        <v>17</v>
      </c>
      <c r="I21" s="16">
        <v>5</v>
      </c>
      <c r="J21" s="16">
        <f t="shared" si="0"/>
        <v>22</v>
      </c>
      <c r="K21" s="16">
        <f t="shared" si="1"/>
        <v>17</v>
      </c>
      <c r="L21" s="16">
        <v>0</v>
      </c>
      <c r="M21" s="16">
        <v>0</v>
      </c>
      <c r="N21" s="16">
        <v>3</v>
      </c>
      <c r="O21" s="16">
        <v>0</v>
      </c>
      <c r="P21" s="18">
        <f>(Flatsheet!$H21/90)</f>
        <v>0.18888888888888888</v>
      </c>
      <c r="Q21" s="18">
        <f>(Flatsheet!$I21/90)</f>
        <v>5.5555555555555552E-2</v>
      </c>
      <c r="R21" s="18">
        <f>Table4[[#This Row],[G+A]]/90</f>
        <v>0.24444444444444444</v>
      </c>
      <c r="S21" s="18">
        <f>Flatsheet!$K21/90</f>
        <v>0.18888888888888888</v>
      </c>
      <c r="T21" s="18">
        <f>Flatsheet!$G21/Flatsheet!$J21</f>
        <v>151.04545454545453</v>
      </c>
      <c r="U21" s="19">
        <f>Flatsheet!$G21/$G$29</f>
        <v>0.22184391481407303</v>
      </c>
      <c r="V21" s="19">
        <f>Flatsheet!$H21/$H$29</f>
        <v>0.19318181818181818</v>
      </c>
      <c r="W21" s="19">
        <f>Flatsheet!$I21/$I$29</f>
        <v>0.11627906976744186</v>
      </c>
    </row>
    <row r="22" spans="1:23" x14ac:dyDescent="0.3">
      <c r="A22" s="15" t="s">
        <v>10</v>
      </c>
      <c r="B22" s="16" t="s">
        <v>6</v>
      </c>
      <c r="C22" s="15" t="s">
        <v>1</v>
      </c>
      <c r="D22" s="15" t="s">
        <v>2</v>
      </c>
      <c r="E22" s="17">
        <v>49</v>
      </c>
      <c r="F22" s="16">
        <v>32</v>
      </c>
      <c r="G22" s="16">
        <v>2690</v>
      </c>
      <c r="H22" s="16">
        <v>18</v>
      </c>
      <c r="I22" s="16">
        <v>6</v>
      </c>
      <c r="J22" s="16">
        <f t="shared" si="0"/>
        <v>24</v>
      </c>
      <c r="K22" s="16">
        <f t="shared" si="1"/>
        <v>17</v>
      </c>
      <c r="L22" s="16">
        <v>1</v>
      </c>
      <c r="M22" s="16">
        <v>1</v>
      </c>
      <c r="N22" s="16">
        <v>5</v>
      </c>
      <c r="O22" s="16">
        <v>0</v>
      </c>
      <c r="P22" s="18">
        <f>(Flatsheet!$H22/90)</f>
        <v>0.2</v>
      </c>
      <c r="Q22" s="18">
        <f>(Flatsheet!$I22/90)</f>
        <v>6.6666666666666666E-2</v>
      </c>
      <c r="R22" s="18">
        <f>Table4[[#This Row],[G+A]]/90</f>
        <v>0.26666666666666666</v>
      </c>
      <c r="S22" s="18">
        <f>Flatsheet!$K22/90</f>
        <v>0.18888888888888888</v>
      </c>
      <c r="T22" s="18">
        <f>Flatsheet!$G22/Flatsheet!$J22</f>
        <v>112.08333333333333</v>
      </c>
      <c r="U22" s="19">
        <f>Flatsheet!$G22/$G$29</f>
        <v>0.1795847519861139</v>
      </c>
      <c r="V22" s="19">
        <f>Flatsheet!$H22/$H$29</f>
        <v>0.20454545454545456</v>
      </c>
      <c r="W22" s="19">
        <f>Flatsheet!$I22/$I$29</f>
        <v>0.13953488372093023</v>
      </c>
    </row>
    <row r="23" spans="1:23" x14ac:dyDescent="0.3">
      <c r="A23" s="15" t="s">
        <v>10</v>
      </c>
      <c r="B23" s="16" t="s">
        <v>8</v>
      </c>
      <c r="C23" s="15" t="s">
        <v>1</v>
      </c>
      <c r="D23" s="15" t="s">
        <v>2</v>
      </c>
      <c r="E23" s="17">
        <v>37</v>
      </c>
      <c r="F23" s="16">
        <v>22</v>
      </c>
      <c r="G23" s="16">
        <v>1831</v>
      </c>
      <c r="H23" s="16">
        <v>9</v>
      </c>
      <c r="I23" s="16">
        <v>3</v>
      </c>
      <c r="J23" s="16">
        <f t="shared" si="0"/>
        <v>12</v>
      </c>
      <c r="K23" s="16">
        <f t="shared" si="1"/>
        <v>9</v>
      </c>
      <c r="L23" s="16">
        <v>0</v>
      </c>
      <c r="M23" s="16">
        <v>0</v>
      </c>
      <c r="N23" s="16">
        <v>2</v>
      </c>
      <c r="O23" s="16">
        <v>0</v>
      </c>
      <c r="P23" s="18">
        <f>(Flatsheet!$H23/90)</f>
        <v>0.1</v>
      </c>
      <c r="Q23" s="18">
        <f>(Flatsheet!$I23/90)</f>
        <v>3.3333333333333333E-2</v>
      </c>
      <c r="R23" s="18">
        <f>Table4[[#This Row],[G+A]]/90</f>
        <v>0.13333333333333333</v>
      </c>
      <c r="S23" s="18">
        <f>Flatsheet!$K23/90</f>
        <v>0.1</v>
      </c>
      <c r="T23" s="18">
        <f>Flatsheet!$G23/Flatsheet!$J23</f>
        <v>152.58333333333334</v>
      </c>
      <c r="U23" s="19">
        <f>Flatsheet!$G23/$G$29</f>
        <v>0.12223779958608719</v>
      </c>
      <c r="V23" s="19">
        <f>Flatsheet!$H23/$H$29</f>
        <v>0.10227272727272728</v>
      </c>
      <c r="W23" s="19">
        <f>Flatsheet!$I23/$I$29</f>
        <v>6.9767441860465115E-2</v>
      </c>
    </row>
    <row r="24" spans="1:23" x14ac:dyDescent="0.3">
      <c r="A24" s="15" t="s">
        <v>10</v>
      </c>
      <c r="B24" s="16" t="s">
        <v>9</v>
      </c>
      <c r="C24" s="15" t="s">
        <v>1</v>
      </c>
      <c r="D24" s="15" t="s">
        <v>2</v>
      </c>
      <c r="E24" s="17">
        <v>47</v>
      </c>
      <c r="F24" s="16">
        <v>17</v>
      </c>
      <c r="G24" s="16">
        <v>2058</v>
      </c>
      <c r="H24" s="16">
        <v>7</v>
      </c>
      <c r="I24" s="16">
        <v>5</v>
      </c>
      <c r="J24" s="16">
        <f t="shared" si="0"/>
        <v>12</v>
      </c>
      <c r="K24" s="16">
        <f t="shared" si="1"/>
        <v>7</v>
      </c>
      <c r="L24" s="16">
        <v>0</v>
      </c>
      <c r="M24" s="16">
        <v>0</v>
      </c>
      <c r="N24" s="16">
        <v>9</v>
      </c>
      <c r="O24" s="16">
        <v>0</v>
      </c>
      <c r="P24" s="18">
        <f>(Flatsheet!$H24/90)</f>
        <v>7.7777777777777779E-2</v>
      </c>
      <c r="Q24" s="18">
        <f>(Flatsheet!$I24/90)</f>
        <v>5.5555555555555552E-2</v>
      </c>
      <c r="R24" s="18">
        <f>Table4[[#This Row],[G+A]]/90</f>
        <v>0.13333333333333333</v>
      </c>
      <c r="S24" s="18">
        <f>Flatsheet!$K24/90</f>
        <v>7.7777777777777779E-2</v>
      </c>
      <c r="T24" s="18">
        <f>Flatsheet!$G24/Flatsheet!$J24</f>
        <v>171.5</v>
      </c>
      <c r="U24" s="19">
        <f>Flatsheet!$G24/$G$29</f>
        <v>0.13739234928900459</v>
      </c>
      <c r="V24" s="19">
        <f>Flatsheet!$H24/$H$29</f>
        <v>7.9545454545454544E-2</v>
      </c>
      <c r="W24" s="19">
        <f>Flatsheet!$I24/$I$29</f>
        <v>0.11627906976744186</v>
      </c>
    </row>
    <row r="25" spans="1:23" x14ac:dyDescent="0.3">
      <c r="A25" s="15" t="s">
        <v>10</v>
      </c>
      <c r="B25" s="16" t="s">
        <v>29</v>
      </c>
      <c r="C25" s="15" t="s">
        <v>1</v>
      </c>
      <c r="D25" s="15" t="s">
        <v>2</v>
      </c>
      <c r="E25" s="17">
        <v>4</v>
      </c>
      <c r="F25" s="16">
        <v>1</v>
      </c>
      <c r="G25" s="16">
        <v>117</v>
      </c>
      <c r="H25" s="16">
        <v>1</v>
      </c>
      <c r="I25" s="16">
        <v>0</v>
      </c>
      <c r="J25" s="16">
        <f t="shared" si="0"/>
        <v>1</v>
      </c>
      <c r="K25" s="16">
        <f t="shared" si="1"/>
        <v>1</v>
      </c>
      <c r="L25" s="16">
        <v>0</v>
      </c>
      <c r="M25" s="16">
        <v>0</v>
      </c>
      <c r="N25" s="16">
        <v>0</v>
      </c>
      <c r="O25" s="16">
        <v>0</v>
      </c>
      <c r="P25" s="18">
        <f>(Flatsheet!$H25/90)</f>
        <v>1.1111111111111112E-2</v>
      </c>
      <c r="Q25" s="18">
        <f>(Flatsheet!$I25/90)</f>
        <v>0</v>
      </c>
      <c r="R25" s="18">
        <f>Table4[[#This Row],[G+A]]/90</f>
        <v>1.1111111111111112E-2</v>
      </c>
      <c r="S25" s="18">
        <f>Flatsheet!$K25/90</f>
        <v>1.1111111111111112E-2</v>
      </c>
      <c r="T25" s="18">
        <f>Flatsheet!$G25/Flatsheet!$J25</f>
        <v>117</v>
      </c>
      <c r="U25" s="19">
        <f>Flatsheet!$G25/$G$29</f>
        <v>7.8109353094332062E-3</v>
      </c>
      <c r="V25" s="19">
        <f>Flatsheet!$H25/$H$29</f>
        <v>1.1363636363636364E-2</v>
      </c>
      <c r="W25" s="19">
        <f>Flatsheet!$I25/$I$29</f>
        <v>0</v>
      </c>
    </row>
    <row r="27" spans="1:23" x14ac:dyDescent="0.3">
      <c r="A27" s="1" t="s">
        <v>12</v>
      </c>
      <c r="B27" s="1" t="s">
        <v>35</v>
      </c>
      <c r="G27" s="1">
        <f>SUM(G6:G12)</f>
        <v>13549</v>
      </c>
      <c r="H27" s="1">
        <f>SUM(H6:H12)</f>
        <v>78</v>
      </c>
      <c r="I27" s="1">
        <f t="shared" ref="I27:O27" si="2">SUM(I6:I12)</f>
        <v>38</v>
      </c>
      <c r="J27" s="1">
        <f t="shared" si="2"/>
        <v>116</v>
      </c>
      <c r="K27" s="1">
        <f t="shared" si="2"/>
        <v>74</v>
      </c>
      <c r="L27" s="1">
        <f t="shared" si="2"/>
        <v>4</v>
      </c>
      <c r="M27" s="1">
        <f t="shared" si="2"/>
        <v>6</v>
      </c>
      <c r="N27" s="1">
        <f t="shared" si="2"/>
        <v>9</v>
      </c>
      <c r="O27" s="1">
        <f t="shared" si="2"/>
        <v>1</v>
      </c>
    </row>
    <row r="28" spans="1:23" x14ac:dyDescent="0.3">
      <c r="A28" s="1" t="s">
        <v>4</v>
      </c>
      <c r="B28" s="1" t="s">
        <v>35</v>
      </c>
      <c r="G28" s="1">
        <f>SUM(G13:G18)</f>
        <v>14568</v>
      </c>
      <c r="H28" s="1">
        <f t="shared" ref="H28:O28" si="3">SUM(H13:H18)</f>
        <v>89</v>
      </c>
      <c r="I28" s="1">
        <f t="shared" si="3"/>
        <v>42</v>
      </c>
      <c r="J28" s="1">
        <f t="shared" si="3"/>
        <v>131</v>
      </c>
      <c r="K28" s="1">
        <f t="shared" si="3"/>
        <v>82</v>
      </c>
      <c r="L28" s="1">
        <f t="shared" si="3"/>
        <v>7</v>
      </c>
      <c r="M28" s="1">
        <f t="shared" si="3"/>
        <v>10</v>
      </c>
      <c r="N28" s="1">
        <f t="shared" si="3"/>
        <v>22</v>
      </c>
      <c r="O28" s="1">
        <f t="shared" si="3"/>
        <v>1</v>
      </c>
    </row>
    <row r="29" spans="1:23" x14ac:dyDescent="0.3">
      <c r="A29" s="1" t="s">
        <v>10</v>
      </c>
      <c r="B29" s="1" t="s">
        <v>35</v>
      </c>
      <c r="G29" s="1">
        <f>SUM(G19:G25)</f>
        <v>14979</v>
      </c>
      <c r="H29" s="1">
        <f t="shared" ref="H29:O29" si="4">SUM(H19:H25)</f>
        <v>88</v>
      </c>
      <c r="I29" s="1">
        <f t="shared" si="4"/>
        <v>43</v>
      </c>
      <c r="J29" s="1">
        <f t="shared" si="4"/>
        <v>131</v>
      </c>
      <c r="K29" s="1">
        <f t="shared" si="4"/>
        <v>76</v>
      </c>
      <c r="L29" s="1">
        <f t="shared" si="4"/>
        <v>12</v>
      </c>
      <c r="M29" s="1">
        <f t="shared" si="4"/>
        <v>13</v>
      </c>
      <c r="N29" s="1">
        <f t="shared" si="4"/>
        <v>21</v>
      </c>
      <c r="O29" s="1">
        <f t="shared" si="4"/>
        <v>0</v>
      </c>
    </row>
  </sheetData>
  <mergeCells count="2">
    <mergeCell ref="A1:M1"/>
    <mergeCell ref="A2:M4"/>
  </mergeCells>
  <phoneticPr fontId="3" type="noConversion"/>
  <conditionalFormatting sqref="P6:P12">
    <cfRule type="aboveAverage" dxfId="2" priority="3"/>
  </conditionalFormatting>
  <conditionalFormatting sqref="P13:P18">
    <cfRule type="aboveAverage" dxfId="1" priority="2"/>
  </conditionalFormatting>
  <conditionalFormatting sqref="P19:P25">
    <cfRule type="aboveAverage" dxfId="0" priority="1"/>
  </conditionalFormatting>
  <pageMargins left="0.7" right="0.7" top="0.75" bottom="0.75" header="0.3" footer="0.3"/>
  <pageSetup paperSize="9" orientation="portrait" r:id="rId1"/>
  <ignoredErrors>
    <ignoredError sqref="G27:I27 L27:O27" formulaRange="1"/>
  </ignoredError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6B501-7677-425E-B00C-068890487319}">
  <dimension ref="A3:Q37"/>
  <sheetViews>
    <sheetView zoomScale="69" workbookViewId="0">
      <selection activeCell="L42" sqref="L42"/>
    </sheetView>
  </sheetViews>
  <sheetFormatPr defaultRowHeight="14.4" x14ac:dyDescent="0.3"/>
  <cols>
    <col min="1" max="1" width="23.44140625" style="21" bestFit="1" customWidth="1"/>
    <col min="2" max="2" width="21" style="21" bestFit="1" customWidth="1"/>
    <col min="3" max="3" width="19" style="21" bestFit="1" customWidth="1"/>
    <col min="4" max="4" width="20.33203125" style="21" bestFit="1" customWidth="1"/>
    <col min="5" max="5" width="21" style="21" bestFit="1" customWidth="1"/>
    <col min="6" max="6" width="19" style="21" bestFit="1" customWidth="1"/>
    <col min="7" max="7" width="20.33203125" style="21" bestFit="1" customWidth="1"/>
    <col min="8" max="8" width="21" style="21" bestFit="1" customWidth="1"/>
    <col min="9" max="9" width="19" style="21" bestFit="1" customWidth="1"/>
    <col min="10" max="10" width="20.33203125" style="21" bestFit="1" customWidth="1"/>
    <col min="11" max="11" width="26.109375" style="21" bestFit="1" customWidth="1"/>
    <col min="12" max="12" width="24" style="21" bestFit="1" customWidth="1"/>
    <col min="13" max="13" width="33.6640625" style="21" bestFit="1" customWidth="1"/>
    <col min="14" max="14" width="20.21875" style="21" bestFit="1" customWidth="1"/>
    <col min="15" max="15" width="16.5546875" style="21" bestFit="1" customWidth="1"/>
    <col min="16" max="16" width="17.44140625" style="21" bestFit="1" customWidth="1"/>
    <col min="17" max="17" width="23" style="21" bestFit="1" customWidth="1"/>
    <col min="18" max="16384" width="8.88671875" style="21"/>
  </cols>
  <sheetData>
    <row r="3" spans="1:17" x14ac:dyDescent="0.3">
      <c r="B3" s="22" t="s">
        <v>42</v>
      </c>
    </row>
    <row r="4" spans="1:17" x14ac:dyDescent="0.3">
      <c r="B4" s="26" t="s">
        <v>12</v>
      </c>
      <c r="C4" s="27"/>
      <c r="D4" s="27"/>
      <c r="E4" s="28"/>
      <c r="F4" s="27" t="s">
        <v>4</v>
      </c>
      <c r="G4" s="27"/>
      <c r="H4" s="27"/>
      <c r="I4" s="28"/>
      <c r="J4" s="27" t="s">
        <v>10</v>
      </c>
      <c r="K4" s="27"/>
      <c r="L4" s="27"/>
      <c r="M4" s="28"/>
      <c r="N4" s="28" t="s">
        <v>47</v>
      </c>
      <c r="O4" s="28" t="s">
        <v>46</v>
      </c>
      <c r="P4" s="28" t="s">
        <v>43</v>
      </c>
      <c r="Q4" s="28" t="s">
        <v>50</v>
      </c>
    </row>
    <row r="5" spans="1:17" x14ac:dyDescent="0.3">
      <c r="A5" s="34" t="s">
        <v>40</v>
      </c>
      <c r="B5" s="35" t="s">
        <v>48</v>
      </c>
      <c r="C5" s="35" t="s">
        <v>45</v>
      </c>
      <c r="D5" s="35" t="s">
        <v>44</v>
      </c>
      <c r="E5" s="35" t="s">
        <v>51</v>
      </c>
      <c r="F5" s="35" t="s">
        <v>48</v>
      </c>
      <c r="G5" s="35" t="s">
        <v>45</v>
      </c>
      <c r="H5" s="35" t="s">
        <v>44</v>
      </c>
      <c r="I5" s="35" t="s">
        <v>51</v>
      </c>
      <c r="J5" s="35" t="s">
        <v>48</v>
      </c>
      <c r="K5" s="35" t="s">
        <v>45</v>
      </c>
      <c r="L5" s="35" t="s">
        <v>44</v>
      </c>
      <c r="M5" s="35" t="s">
        <v>51</v>
      </c>
      <c r="N5" s="35"/>
      <c r="O5" s="35"/>
      <c r="P5" s="35"/>
      <c r="Q5" s="35"/>
    </row>
    <row r="6" spans="1:17" x14ac:dyDescent="0.3">
      <c r="A6" s="30" t="s">
        <v>11</v>
      </c>
      <c r="B6" s="29"/>
      <c r="C6" s="29"/>
      <c r="D6" s="29"/>
      <c r="E6" s="31"/>
      <c r="F6" s="29"/>
      <c r="G6" s="29"/>
      <c r="H6" s="29"/>
      <c r="I6" s="31"/>
      <c r="J6" s="29">
        <v>470</v>
      </c>
      <c r="K6" s="29">
        <v>3</v>
      </c>
      <c r="L6" s="29">
        <v>2</v>
      </c>
      <c r="M6" s="31">
        <v>3.3333333333333333E-2</v>
      </c>
      <c r="N6" s="29">
        <v>470</v>
      </c>
      <c r="O6" s="29">
        <v>3</v>
      </c>
      <c r="P6" s="29">
        <v>2</v>
      </c>
      <c r="Q6" s="31">
        <v>3.3333333333333333E-2</v>
      </c>
    </row>
    <row r="7" spans="1:17" x14ac:dyDescent="0.3">
      <c r="A7" s="30" t="s">
        <v>29</v>
      </c>
      <c r="B7" s="29"/>
      <c r="C7" s="29"/>
      <c r="D7" s="29"/>
      <c r="E7" s="31"/>
      <c r="F7" s="29">
        <v>83</v>
      </c>
      <c r="G7" s="29">
        <v>2</v>
      </c>
      <c r="H7" s="29">
        <v>2</v>
      </c>
      <c r="I7" s="31">
        <v>2.2222222222222223E-2</v>
      </c>
      <c r="J7" s="29">
        <v>117</v>
      </c>
      <c r="K7" s="29">
        <v>1</v>
      </c>
      <c r="L7" s="29">
        <v>1</v>
      </c>
      <c r="M7" s="31">
        <v>1.1111111111111112E-2</v>
      </c>
      <c r="N7" s="29">
        <v>200</v>
      </c>
      <c r="O7" s="29">
        <v>3</v>
      </c>
      <c r="P7" s="29">
        <v>3</v>
      </c>
      <c r="Q7" s="31">
        <v>1.6666666666666666E-2</v>
      </c>
    </row>
    <row r="8" spans="1:17" x14ac:dyDescent="0.3">
      <c r="A8" s="30" t="s">
        <v>28</v>
      </c>
      <c r="B8" s="29">
        <v>525</v>
      </c>
      <c r="C8" s="29">
        <v>1</v>
      </c>
      <c r="D8" s="29">
        <v>1</v>
      </c>
      <c r="E8" s="31">
        <v>1.1111111111111112E-2</v>
      </c>
      <c r="F8" s="29"/>
      <c r="G8" s="29"/>
      <c r="H8" s="29"/>
      <c r="I8" s="31"/>
      <c r="J8" s="29"/>
      <c r="K8" s="29"/>
      <c r="L8" s="29"/>
      <c r="M8" s="31"/>
      <c r="N8" s="29">
        <v>525</v>
      </c>
      <c r="O8" s="29">
        <v>1</v>
      </c>
      <c r="P8" s="29">
        <v>1</v>
      </c>
      <c r="Q8" s="31">
        <v>1.1111111111111112E-2</v>
      </c>
    </row>
    <row r="9" spans="1:17" x14ac:dyDescent="0.3">
      <c r="A9" s="30" t="s">
        <v>5</v>
      </c>
      <c r="B9" s="29">
        <v>1354</v>
      </c>
      <c r="C9" s="29">
        <v>7</v>
      </c>
      <c r="D9" s="29">
        <v>5</v>
      </c>
      <c r="E9" s="31">
        <v>7.7777777777777779E-2</v>
      </c>
      <c r="F9" s="29">
        <v>3596</v>
      </c>
      <c r="G9" s="29">
        <v>18</v>
      </c>
      <c r="H9" s="29">
        <v>13</v>
      </c>
      <c r="I9" s="31">
        <v>0.2</v>
      </c>
      <c r="J9" s="29">
        <v>3323</v>
      </c>
      <c r="K9" s="29">
        <v>22</v>
      </c>
      <c r="L9" s="29">
        <v>17</v>
      </c>
      <c r="M9" s="31">
        <v>0.24444444444444444</v>
      </c>
      <c r="N9" s="29">
        <v>8273</v>
      </c>
      <c r="O9" s="29">
        <v>47</v>
      </c>
      <c r="P9" s="29">
        <v>35</v>
      </c>
      <c r="Q9" s="31">
        <v>0.17407407407407408</v>
      </c>
    </row>
    <row r="10" spans="1:17" x14ac:dyDescent="0.3">
      <c r="A10" s="30" t="s">
        <v>8</v>
      </c>
      <c r="B10" s="29">
        <v>1394</v>
      </c>
      <c r="C10" s="29">
        <v>15</v>
      </c>
      <c r="D10" s="29">
        <v>7</v>
      </c>
      <c r="E10" s="31">
        <v>0.16666666666666666</v>
      </c>
      <c r="F10" s="29">
        <v>1711</v>
      </c>
      <c r="G10" s="29">
        <v>19</v>
      </c>
      <c r="H10" s="29">
        <v>15</v>
      </c>
      <c r="I10" s="31">
        <v>0.21111111111111111</v>
      </c>
      <c r="J10" s="29">
        <v>1831</v>
      </c>
      <c r="K10" s="29">
        <v>12</v>
      </c>
      <c r="L10" s="29">
        <v>9</v>
      </c>
      <c r="M10" s="31">
        <v>0.13333333333333333</v>
      </c>
      <c r="N10" s="29">
        <v>4936</v>
      </c>
      <c r="O10" s="29">
        <v>46</v>
      </c>
      <c r="P10" s="29">
        <v>31</v>
      </c>
      <c r="Q10" s="31">
        <v>0.17037037037037037</v>
      </c>
    </row>
    <row r="11" spans="1:17" x14ac:dyDescent="0.3">
      <c r="A11" s="30" t="s">
        <v>3</v>
      </c>
      <c r="B11" s="29">
        <v>1743</v>
      </c>
      <c r="C11" s="29">
        <v>18</v>
      </c>
      <c r="D11" s="29">
        <v>13</v>
      </c>
      <c r="E11" s="31">
        <v>0.2</v>
      </c>
      <c r="F11" s="29"/>
      <c r="G11" s="29"/>
      <c r="H11" s="29"/>
      <c r="I11" s="31"/>
      <c r="J11" s="29"/>
      <c r="K11" s="29"/>
      <c r="L11" s="29"/>
      <c r="M11" s="31"/>
      <c r="N11" s="29">
        <v>1743</v>
      </c>
      <c r="O11" s="29">
        <v>18</v>
      </c>
      <c r="P11" s="29">
        <v>13</v>
      </c>
      <c r="Q11" s="31">
        <v>0.2</v>
      </c>
    </row>
    <row r="12" spans="1:17" x14ac:dyDescent="0.3">
      <c r="A12" s="30" t="s">
        <v>6</v>
      </c>
      <c r="B12" s="29">
        <v>1848</v>
      </c>
      <c r="C12" s="29">
        <v>9</v>
      </c>
      <c r="D12" s="29">
        <v>7</v>
      </c>
      <c r="E12" s="31">
        <v>0.1</v>
      </c>
      <c r="F12" s="29">
        <v>3017</v>
      </c>
      <c r="G12" s="29">
        <v>22</v>
      </c>
      <c r="H12" s="29">
        <v>16</v>
      </c>
      <c r="I12" s="31">
        <v>0.24444444444444444</v>
      </c>
      <c r="J12" s="29">
        <v>2690</v>
      </c>
      <c r="K12" s="29">
        <v>24</v>
      </c>
      <c r="L12" s="29">
        <v>17</v>
      </c>
      <c r="M12" s="31">
        <v>0.26666666666666666</v>
      </c>
      <c r="N12" s="29">
        <v>7555</v>
      </c>
      <c r="O12" s="29">
        <v>55</v>
      </c>
      <c r="P12" s="29">
        <v>40</v>
      </c>
      <c r="Q12" s="31">
        <v>0.20370370370370372</v>
      </c>
    </row>
    <row r="13" spans="1:17" x14ac:dyDescent="0.3">
      <c r="A13" s="30" t="s">
        <v>9</v>
      </c>
      <c r="B13" s="29">
        <v>2393</v>
      </c>
      <c r="C13" s="29">
        <v>20</v>
      </c>
      <c r="D13" s="29">
        <v>15</v>
      </c>
      <c r="E13" s="31">
        <v>0.22222222222222221</v>
      </c>
      <c r="F13" s="29">
        <v>3030</v>
      </c>
      <c r="G13" s="29">
        <v>31</v>
      </c>
      <c r="H13" s="29">
        <v>17</v>
      </c>
      <c r="I13" s="31">
        <v>0.34444444444444444</v>
      </c>
      <c r="J13" s="29">
        <v>2058</v>
      </c>
      <c r="K13" s="29">
        <v>12</v>
      </c>
      <c r="L13" s="29">
        <v>7</v>
      </c>
      <c r="M13" s="31">
        <v>0.13333333333333333</v>
      </c>
      <c r="N13" s="29">
        <v>7481</v>
      </c>
      <c r="O13" s="29">
        <v>63</v>
      </c>
      <c r="P13" s="29">
        <v>39</v>
      </c>
      <c r="Q13" s="31">
        <v>0.23333333333333331</v>
      </c>
    </row>
    <row r="14" spans="1:17" x14ac:dyDescent="0.3">
      <c r="A14" s="30" t="s">
        <v>0</v>
      </c>
      <c r="B14" s="29">
        <v>4292</v>
      </c>
      <c r="C14" s="29">
        <v>46</v>
      </c>
      <c r="D14" s="29">
        <v>26</v>
      </c>
      <c r="E14" s="31">
        <v>0.51111111111111107</v>
      </c>
      <c r="F14" s="29">
        <v>3131</v>
      </c>
      <c r="G14" s="29">
        <v>39</v>
      </c>
      <c r="H14" s="29">
        <v>19</v>
      </c>
      <c r="I14" s="31">
        <v>0.43333333333333335</v>
      </c>
      <c r="J14" s="29">
        <v>4490</v>
      </c>
      <c r="K14" s="29">
        <v>57</v>
      </c>
      <c r="L14" s="29">
        <v>23</v>
      </c>
      <c r="M14" s="31">
        <v>0.6333333333333333</v>
      </c>
      <c r="N14" s="29">
        <v>11913</v>
      </c>
      <c r="O14" s="29">
        <v>142</v>
      </c>
      <c r="P14" s="29">
        <v>68</v>
      </c>
      <c r="Q14" s="31">
        <v>0.52592592592592591</v>
      </c>
    </row>
    <row r="15" spans="1:17" x14ac:dyDescent="0.3">
      <c r="A15" s="32" t="s">
        <v>41</v>
      </c>
      <c r="B15" s="21">
        <v>13549</v>
      </c>
      <c r="C15" s="21">
        <v>116</v>
      </c>
      <c r="D15" s="21">
        <v>74</v>
      </c>
      <c r="E15" s="33">
        <v>0.18412698412698411</v>
      </c>
      <c r="F15" s="21">
        <v>14568</v>
      </c>
      <c r="G15" s="21">
        <v>131</v>
      </c>
      <c r="H15" s="21">
        <v>82</v>
      </c>
      <c r="I15" s="33">
        <v>0.24259259259259261</v>
      </c>
      <c r="J15" s="21">
        <v>14979</v>
      </c>
      <c r="K15" s="21">
        <v>131</v>
      </c>
      <c r="L15" s="21">
        <v>76</v>
      </c>
      <c r="M15" s="33">
        <v>0.20793650793650792</v>
      </c>
      <c r="N15" s="21">
        <v>43096</v>
      </c>
      <c r="O15" s="21">
        <v>378</v>
      </c>
      <c r="P15" s="21">
        <v>232</v>
      </c>
      <c r="Q15" s="33">
        <v>0.21000000000000002</v>
      </c>
    </row>
    <row r="17" spans="1:13" ht="14.4" customHeight="1" x14ac:dyDescent="0.3">
      <c r="A17" s="37" t="s">
        <v>58</v>
      </c>
      <c r="B17" s="37"/>
      <c r="C17" s="37"/>
      <c r="D17" s="37"/>
      <c r="E17" s="37"/>
      <c r="F17" s="37"/>
      <c r="G17" s="37"/>
      <c r="H17" s="37"/>
      <c r="I17" s="37"/>
      <c r="J17" s="37"/>
      <c r="K17" s="37"/>
      <c r="L17" s="37"/>
      <c r="M17" s="37"/>
    </row>
    <row r="18" spans="1:13" ht="14.4" customHeight="1" x14ac:dyDescent="0.3">
      <c r="A18" s="37"/>
      <c r="B18" s="37"/>
      <c r="C18" s="37"/>
      <c r="D18" s="37"/>
      <c r="E18" s="37"/>
      <c r="F18" s="37"/>
      <c r="G18" s="37"/>
      <c r="H18" s="37"/>
      <c r="I18" s="37"/>
      <c r="J18" s="37"/>
      <c r="K18" s="37"/>
      <c r="L18" s="37"/>
      <c r="M18" s="37"/>
    </row>
    <row r="19" spans="1:13" ht="14.4" customHeight="1" x14ac:dyDescent="0.3">
      <c r="A19" s="37"/>
      <c r="B19" s="37"/>
      <c r="C19" s="37"/>
      <c r="D19" s="37"/>
      <c r="E19" s="37"/>
      <c r="F19" s="37"/>
      <c r="G19" s="37"/>
      <c r="H19" s="37"/>
      <c r="I19" s="37"/>
      <c r="J19" s="37"/>
      <c r="K19" s="37"/>
      <c r="L19" s="37"/>
      <c r="M19" s="37"/>
    </row>
    <row r="20" spans="1:13" ht="14.4" customHeight="1" x14ac:dyDescent="0.3">
      <c r="A20" s="37"/>
      <c r="B20" s="37"/>
      <c r="C20" s="37"/>
      <c r="D20" s="37"/>
      <c r="E20" s="37"/>
      <c r="F20" s="37"/>
      <c r="G20" s="37"/>
      <c r="H20" s="37"/>
      <c r="I20" s="37"/>
      <c r="J20" s="37"/>
      <c r="K20" s="37"/>
      <c r="L20" s="37"/>
      <c r="M20" s="37"/>
    </row>
    <row r="21" spans="1:13" ht="14.4" customHeight="1" x14ac:dyDescent="0.3">
      <c r="A21" s="37"/>
      <c r="B21" s="37"/>
      <c r="C21" s="37"/>
      <c r="D21" s="37"/>
      <c r="E21" s="37"/>
      <c r="F21" s="37"/>
      <c r="G21" s="37"/>
      <c r="H21" s="37"/>
      <c r="I21" s="37"/>
      <c r="J21" s="37"/>
      <c r="K21" s="37"/>
      <c r="L21" s="37"/>
      <c r="M21" s="37"/>
    </row>
    <row r="22" spans="1:13" x14ac:dyDescent="0.3">
      <c r="A22" s="37"/>
      <c r="B22" s="37"/>
      <c r="C22" s="37"/>
      <c r="D22" s="37"/>
      <c r="E22" s="37"/>
      <c r="F22" s="37"/>
      <c r="G22" s="37"/>
      <c r="H22" s="37"/>
      <c r="I22" s="37"/>
      <c r="J22" s="37"/>
      <c r="K22" s="37"/>
      <c r="L22" s="37"/>
      <c r="M22" s="37"/>
    </row>
    <row r="25" spans="1:13" x14ac:dyDescent="0.3">
      <c r="B25" s="22" t="s">
        <v>42</v>
      </c>
      <c r="C25" s="22"/>
    </row>
    <row r="26" spans="1:13" x14ac:dyDescent="0.3">
      <c r="B26" s="23" t="s">
        <v>12</v>
      </c>
      <c r="C26" s="24"/>
      <c r="D26" s="25"/>
      <c r="E26" s="23" t="s">
        <v>4</v>
      </c>
      <c r="F26" s="24"/>
      <c r="G26" s="27"/>
      <c r="H26" s="23" t="s">
        <v>10</v>
      </c>
      <c r="I26" s="28"/>
      <c r="J26" s="25"/>
      <c r="K26" s="23" t="s">
        <v>53</v>
      </c>
      <c r="L26" s="24" t="s">
        <v>54</v>
      </c>
      <c r="M26" s="25" t="s">
        <v>56</v>
      </c>
    </row>
    <row r="27" spans="1:13" x14ac:dyDescent="0.3">
      <c r="A27" s="22" t="s">
        <v>40</v>
      </c>
      <c r="B27" s="29" t="s">
        <v>52</v>
      </c>
      <c r="C27" s="29" t="s">
        <v>55</v>
      </c>
      <c r="D27" s="29" t="s">
        <v>57</v>
      </c>
      <c r="E27" s="29" t="s">
        <v>52</v>
      </c>
      <c r="F27" s="29" t="s">
        <v>55</v>
      </c>
      <c r="G27" s="29" t="s">
        <v>57</v>
      </c>
      <c r="H27" s="29" t="s">
        <v>52</v>
      </c>
      <c r="I27" s="29" t="s">
        <v>55</v>
      </c>
      <c r="J27" s="29" t="s">
        <v>57</v>
      </c>
      <c r="K27" s="29"/>
      <c r="L27" s="29"/>
      <c r="M27" s="29"/>
    </row>
    <row r="28" spans="1:13" x14ac:dyDescent="0.3">
      <c r="A28" s="30" t="s">
        <v>11</v>
      </c>
      <c r="B28" s="36"/>
      <c r="C28" s="36"/>
      <c r="D28" s="36"/>
      <c r="E28" s="36"/>
      <c r="F28" s="36"/>
      <c r="G28" s="36"/>
      <c r="H28" s="36">
        <v>3.1377261499432541E-2</v>
      </c>
      <c r="I28" s="36">
        <v>2.2727272727272728E-2</v>
      </c>
      <c r="J28" s="36">
        <v>2.3255813953488372E-2</v>
      </c>
      <c r="K28" s="36">
        <v>3.1377261499432541E-2</v>
      </c>
      <c r="L28" s="36">
        <v>2.2727272727272728E-2</v>
      </c>
      <c r="M28" s="36">
        <v>2.3255813953488372E-2</v>
      </c>
    </row>
    <row r="29" spans="1:13" x14ac:dyDescent="0.3">
      <c r="A29" s="30" t="s">
        <v>29</v>
      </c>
      <c r="B29" s="36"/>
      <c r="C29" s="36"/>
      <c r="D29" s="36"/>
      <c r="E29" s="36">
        <v>5.6974190005491488E-3</v>
      </c>
      <c r="F29" s="36">
        <v>2.247191011235955E-2</v>
      </c>
      <c r="G29" s="36">
        <v>0</v>
      </c>
      <c r="H29" s="36">
        <v>7.8109353094332062E-3</v>
      </c>
      <c r="I29" s="36">
        <v>1.1363636363636364E-2</v>
      </c>
      <c r="J29" s="36">
        <v>0</v>
      </c>
      <c r="K29" s="36">
        <v>1.3508354309982356E-2</v>
      </c>
      <c r="L29" s="36">
        <v>3.3835546475995917E-2</v>
      </c>
      <c r="M29" s="36">
        <v>0</v>
      </c>
    </row>
    <row r="30" spans="1:13" x14ac:dyDescent="0.3">
      <c r="A30" s="30" t="s">
        <v>28</v>
      </c>
      <c r="B30" s="36">
        <v>3.8748247103107238E-2</v>
      </c>
      <c r="C30" s="36">
        <v>1.282051282051282E-2</v>
      </c>
      <c r="D30" s="36">
        <v>0</v>
      </c>
      <c r="E30" s="36"/>
      <c r="F30" s="36"/>
      <c r="G30" s="36"/>
      <c r="H30" s="36"/>
      <c r="I30" s="36"/>
      <c r="J30" s="36"/>
      <c r="K30" s="36">
        <v>3.8748247103107238E-2</v>
      </c>
      <c r="L30" s="36">
        <v>1.282051282051282E-2</v>
      </c>
      <c r="M30" s="36">
        <v>0</v>
      </c>
    </row>
    <row r="31" spans="1:13" x14ac:dyDescent="0.3">
      <c r="A31" s="30" t="s">
        <v>5</v>
      </c>
      <c r="B31" s="36">
        <v>9.9933574433537536E-2</v>
      </c>
      <c r="C31" s="36">
        <v>6.4102564102564097E-2</v>
      </c>
      <c r="D31" s="36">
        <v>5.2631578947368418E-2</v>
      </c>
      <c r="E31" s="36">
        <v>0.24684239428885227</v>
      </c>
      <c r="F31" s="36">
        <v>0.14606741573033707</v>
      </c>
      <c r="G31" s="36">
        <v>0.11904761904761904</v>
      </c>
      <c r="H31" s="36">
        <v>0.22184391481407303</v>
      </c>
      <c r="I31" s="36">
        <v>0.19318181818181818</v>
      </c>
      <c r="J31" s="36">
        <v>0.11627906976744186</v>
      </c>
      <c r="K31" s="36">
        <v>0.56861988353646287</v>
      </c>
      <c r="L31" s="36">
        <v>0.40335179801471932</v>
      </c>
      <c r="M31" s="36">
        <v>0.28795826776242933</v>
      </c>
    </row>
    <row r="32" spans="1:13" x14ac:dyDescent="0.3">
      <c r="A32" s="30" t="s">
        <v>8</v>
      </c>
      <c r="B32" s="36">
        <v>0.10288582183186951</v>
      </c>
      <c r="C32" s="36">
        <v>8.9743589743589744E-2</v>
      </c>
      <c r="D32" s="36">
        <v>0.21052631578947367</v>
      </c>
      <c r="E32" s="36">
        <v>0.11744920373421197</v>
      </c>
      <c r="F32" s="36">
        <v>0.16853932584269662</v>
      </c>
      <c r="G32" s="36">
        <v>9.5238095238095233E-2</v>
      </c>
      <c r="H32" s="36">
        <v>0.12223779958608719</v>
      </c>
      <c r="I32" s="36">
        <v>0.10227272727272728</v>
      </c>
      <c r="J32" s="36">
        <v>6.9767441860465115E-2</v>
      </c>
      <c r="K32" s="36">
        <v>0.34257282515216869</v>
      </c>
      <c r="L32" s="36">
        <v>0.36055564285901365</v>
      </c>
      <c r="M32" s="36">
        <v>0.37553185288803403</v>
      </c>
    </row>
    <row r="33" spans="1:13" x14ac:dyDescent="0.3">
      <c r="A33" s="30" t="s">
        <v>3</v>
      </c>
      <c r="B33" s="36">
        <v>0.12864418038231604</v>
      </c>
      <c r="C33" s="36">
        <v>0.16666666666666666</v>
      </c>
      <c r="D33" s="36">
        <v>0.13157894736842105</v>
      </c>
      <c r="E33" s="36"/>
      <c r="F33" s="36"/>
      <c r="G33" s="36"/>
      <c r="H33" s="36"/>
      <c r="I33" s="36"/>
      <c r="J33" s="36"/>
      <c r="K33" s="36">
        <v>0.12864418038231604</v>
      </c>
      <c r="L33" s="36">
        <v>0.16666666666666666</v>
      </c>
      <c r="M33" s="36">
        <v>0.13157894736842105</v>
      </c>
    </row>
    <row r="34" spans="1:13" x14ac:dyDescent="0.3">
      <c r="A34" s="30" t="s">
        <v>6</v>
      </c>
      <c r="B34" s="36">
        <v>0.13639382980293749</v>
      </c>
      <c r="C34" s="36">
        <v>8.9743589743589744E-2</v>
      </c>
      <c r="D34" s="36">
        <v>5.2631578947368418E-2</v>
      </c>
      <c r="E34" s="36">
        <v>0.20709774848984075</v>
      </c>
      <c r="F34" s="36">
        <v>0.1797752808988764</v>
      </c>
      <c r="G34" s="36">
        <v>0.14285714285714285</v>
      </c>
      <c r="H34" s="36">
        <v>0.1795847519861139</v>
      </c>
      <c r="I34" s="36">
        <v>0.20454545454545456</v>
      </c>
      <c r="J34" s="36">
        <v>0.13953488372093023</v>
      </c>
      <c r="K34" s="36">
        <v>0.52307633027889211</v>
      </c>
      <c r="L34" s="36">
        <v>0.47406432518792074</v>
      </c>
      <c r="M34" s="36">
        <v>0.33502360552544153</v>
      </c>
    </row>
    <row r="35" spans="1:13" x14ac:dyDescent="0.3">
      <c r="A35" s="30" t="s">
        <v>9</v>
      </c>
      <c r="B35" s="36">
        <v>0.17661820060521072</v>
      </c>
      <c r="C35" s="36">
        <v>0.19230769230769232</v>
      </c>
      <c r="D35" s="36">
        <v>0.13157894736842105</v>
      </c>
      <c r="E35" s="36">
        <v>0.20799011532125206</v>
      </c>
      <c r="F35" s="36">
        <v>0.20224719101123595</v>
      </c>
      <c r="G35" s="36">
        <v>0.30952380952380953</v>
      </c>
      <c r="H35" s="36">
        <v>0.13739234928900459</v>
      </c>
      <c r="I35" s="36">
        <v>7.9545454545454544E-2</v>
      </c>
      <c r="J35" s="36">
        <v>0.11627906976744186</v>
      </c>
      <c r="K35" s="36">
        <v>0.5220006652154674</v>
      </c>
      <c r="L35" s="36">
        <v>0.47410033786438283</v>
      </c>
      <c r="M35" s="36">
        <v>0.5573818266596724</v>
      </c>
    </row>
    <row r="36" spans="1:13" x14ac:dyDescent="0.3">
      <c r="A36" s="30" t="s">
        <v>0</v>
      </c>
      <c r="B36" s="36">
        <v>0.31677614584102148</v>
      </c>
      <c r="C36" s="36">
        <v>0.38461538461538464</v>
      </c>
      <c r="D36" s="36">
        <v>0.42105263157894735</v>
      </c>
      <c r="E36" s="36">
        <v>0.2149231191652938</v>
      </c>
      <c r="F36" s="36">
        <v>0.2808988764044944</v>
      </c>
      <c r="G36" s="36">
        <v>0.33333333333333331</v>
      </c>
      <c r="H36" s="36">
        <v>0.29975298751585555</v>
      </c>
      <c r="I36" s="36">
        <v>0.38636363636363635</v>
      </c>
      <c r="J36" s="36">
        <v>0.53488372093023251</v>
      </c>
      <c r="K36" s="36">
        <v>0.83145225252217081</v>
      </c>
      <c r="L36" s="36">
        <v>1.0518778973835152</v>
      </c>
      <c r="M36" s="36">
        <v>1.289269685842513</v>
      </c>
    </row>
    <row r="37" spans="1:13" x14ac:dyDescent="0.3">
      <c r="A37" s="30" t="s">
        <v>41</v>
      </c>
      <c r="B37" s="36">
        <v>1</v>
      </c>
      <c r="C37" s="36">
        <v>1</v>
      </c>
      <c r="D37" s="36">
        <v>1</v>
      </c>
      <c r="E37" s="36">
        <v>0.99999999999999989</v>
      </c>
      <c r="F37" s="36">
        <v>1</v>
      </c>
      <c r="G37" s="36">
        <v>1</v>
      </c>
      <c r="H37" s="36">
        <v>1</v>
      </c>
      <c r="I37" s="36">
        <v>1</v>
      </c>
      <c r="J37" s="36">
        <v>1</v>
      </c>
      <c r="K37" s="36">
        <v>3</v>
      </c>
      <c r="L37" s="36">
        <v>2.9999999999999996</v>
      </c>
      <c r="M37" s="36">
        <v>3</v>
      </c>
    </row>
  </sheetData>
  <mergeCells count="1">
    <mergeCell ref="A17:M22"/>
  </mergeCells>
  <conditionalFormatting pivot="1" sqref="B6:B14">
    <cfRule type="aboveAverage" dxfId="114" priority="28"/>
  </conditionalFormatting>
  <conditionalFormatting pivot="1" sqref="C8:C14">
    <cfRule type="aboveAverage" dxfId="113" priority="27"/>
  </conditionalFormatting>
  <conditionalFormatting pivot="1" sqref="D8:D14">
    <cfRule type="aboveAverage" dxfId="112" priority="26"/>
  </conditionalFormatting>
  <conditionalFormatting pivot="1" sqref="E8:E14">
    <cfRule type="aboveAverage" dxfId="111" priority="25"/>
  </conditionalFormatting>
  <conditionalFormatting pivot="1" sqref="F7:F14">
    <cfRule type="aboveAverage" dxfId="110" priority="24"/>
  </conditionalFormatting>
  <conditionalFormatting pivot="1" sqref="G7:G14">
    <cfRule type="aboveAverage" dxfId="109" priority="23"/>
  </conditionalFormatting>
  <conditionalFormatting pivot="1" sqref="H7:H14">
    <cfRule type="aboveAverage" dxfId="108" priority="22"/>
  </conditionalFormatting>
  <conditionalFormatting pivot="1" sqref="I7:I14">
    <cfRule type="aboveAverage" dxfId="107" priority="21"/>
  </conditionalFormatting>
  <conditionalFormatting pivot="1" sqref="J6:J14">
    <cfRule type="aboveAverage" dxfId="106" priority="20"/>
  </conditionalFormatting>
  <conditionalFormatting pivot="1" sqref="K6:K14">
    <cfRule type="aboveAverage" dxfId="105" priority="19"/>
  </conditionalFormatting>
  <conditionalFormatting pivot="1" sqref="L6:L14">
    <cfRule type="aboveAverage" dxfId="104" priority="18"/>
  </conditionalFormatting>
  <conditionalFormatting pivot="1" sqref="M6:M14">
    <cfRule type="aboveAverage" dxfId="103" priority="17"/>
  </conditionalFormatting>
  <conditionalFormatting pivot="1" sqref="N6:N14">
    <cfRule type="aboveAverage" dxfId="102" priority="16"/>
  </conditionalFormatting>
  <conditionalFormatting pivot="1" sqref="O6:O14">
    <cfRule type="aboveAverage" dxfId="101" priority="15"/>
  </conditionalFormatting>
  <conditionalFormatting pivot="1" sqref="P6:P14">
    <cfRule type="aboveAverage" dxfId="100" priority="14"/>
  </conditionalFormatting>
  <conditionalFormatting pivot="1" sqref="Q6:Q14">
    <cfRule type="aboveAverage" dxfId="99" priority="13"/>
  </conditionalFormatting>
  <conditionalFormatting pivot="1" sqref="B28:B36">
    <cfRule type="aboveAverage" dxfId="98" priority="12"/>
  </conditionalFormatting>
  <conditionalFormatting pivot="1" sqref="C28:C36">
    <cfRule type="aboveAverage" dxfId="97" priority="11"/>
  </conditionalFormatting>
  <conditionalFormatting pivot="1" sqref="D28:D36">
    <cfRule type="aboveAverage" dxfId="96" priority="10"/>
  </conditionalFormatting>
  <conditionalFormatting pivot="1" sqref="E28:E36">
    <cfRule type="aboveAverage" dxfId="95" priority="9"/>
  </conditionalFormatting>
  <conditionalFormatting pivot="1" sqref="F28:F36">
    <cfRule type="aboveAverage" dxfId="94" priority="8"/>
  </conditionalFormatting>
  <conditionalFormatting pivot="1" sqref="G28:G36">
    <cfRule type="aboveAverage" dxfId="93" priority="7"/>
  </conditionalFormatting>
  <conditionalFormatting pivot="1" sqref="H28:H36">
    <cfRule type="aboveAverage" dxfId="92" priority="6"/>
  </conditionalFormatting>
  <conditionalFormatting pivot="1" sqref="I28:I36">
    <cfRule type="aboveAverage" dxfId="91" priority="5"/>
  </conditionalFormatting>
  <conditionalFormatting pivot="1" sqref="J28:J36">
    <cfRule type="aboveAverage" dxfId="90" priority="4"/>
  </conditionalFormatting>
  <conditionalFormatting pivot="1" sqref="K28:K36">
    <cfRule type="aboveAverage" dxfId="89" priority="3"/>
  </conditionalFormatting>
  <conditionalFormatting pivot="1" sqref="L28:L36">
    <cfRule type="aboveAverage" dxfId="88" priority="2"/>
  </conditionalFormatting>
  <conditionalFormatting pivot="1" sqref="M28:M36">
    <cfRule type="aboveAverage" dxfId="87" priority="1"/>
  </conditionalFormatting>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Flatsheet</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sanyam jain</dc:creator>
  <cp:lastModifiedBy>sanyam jain</cp:lastModifiedBy>
  <cp:lastPrinted>2026-01-23T15:00:39Z</cp:lastPrinted>
  <dcterms:created xsi:type="dcterms:W3CDTF">2026-01-22T18:13:18Z</dcterms:created>
  <dcterms:modified xsi:type="dcterms:W3CDTF">2026-04-17T19:40:33Z</dcterms:modified>
</cp:coreProperties>
</file>